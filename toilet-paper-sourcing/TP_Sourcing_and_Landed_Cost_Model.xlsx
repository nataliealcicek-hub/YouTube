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upplier Tracker" sheetId="3" state="visible" r:id="rId5"/>
    <sheet name="Freight Rates" sheetId="4" state="visible" r:id="rId6"/>
    <sheet name="Landed Cost Model" sheetId="5" state="visible" r:id="rId7"/>
    <sheet name="Scenario - Pack x Zone" sheetId="6" state="visible" r:id="rId8"/>
    <sheet name="Scenario - Volume" sheetId="7" state="visible" r:id="rId9"/>
    <sheet name="Benchmar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V2" authorId="0">
      <text>
        <r>
          <rPr>
            <sz val="10"/>
            <rFont val="Arial"/>
            <family val="2"/>
          </rPr>
          <t xml:space="preserve">Must total 100%.</t>
        </r>
      </text>
    </comment>
  </commentList>
</comments>
</file>

<file path=xl/sharedStrings.xml><?xml version="1.0" encoding="utf-8"?>
<sst xmlns="http://schemas.openxmlformats.org/spreadsheetml/2006/main" count="462" uniqueCount="364">
  <si>
    <t xml:space="preserve">PRIVATE LABEL 2-PLY BATH TISSUE</t>
  </si>
  <si>
    <t xml:space="preserve">Sourcing Tracker + Landed Cost Model</t>
  </si>
  <si>
    <t xml:space="preserve">HOW TO USE THIS WORKBOOK</t>
  </si>
  <si>
    <t xml:space="preserve">1. Assumptions</t>
  </si>
  <si>
    <t xml:space="preserve">Start here. Every yellow-filled cell is yours to edit. Everything downstream recalculates. The spec block drives roll weight and cube, which drive freight, which drives everything.</t>
  </si>
  <si>
    <t xml:space="preserve">2. Supplier Tracker</t>
  </si>
  <si>
    <t xml:space="preserve">Your sourcing spreadsheet. Pre-loaded with 12 real converters. Fill the blue quote columns as responses come in; the weighted score ranks them automatically.</t>
  </si>
  <si>
    <t xml:space="preserve">3. Landed Cost Model</t>
  </si>
  <si>
    <t xml:space="preserve">Full cost stack for one customer order, from parent roll to doorstep. Change pack size and zone at the top.</t>
  </si>
  <si>
    <t xml:space="preserve">4. Scenario - Pack x Zone</t>
  </si>
  <si>
    <t xml:space="preserve">The core answer: delivered cost per 100 sheets AND gross margin, flexed by rolls per pack (rows) and parcel zone (columns).</t>
  </si>
  <si>
    <t xml:space="preserve">5. Scenario - Volume</t>
  </si>
  <si>
    <t xml:space="preserve">Procurement view: how ex-works + inbound freight per roll moves with order size and freight mode (LTL / TL / Ocean).</t>
  </si>
  <si>
    <t xml:space="preserve">6. Freight Rates</t>
  </si>
  <si>
    <t xml:space="preserve">Parcel rate table by billed weight and zone. THESE ARE PLANNING ESTIMATES - replace with your carrier contract before committing.</t>
  </si>
  <si>
    <t xml:space="preserve">7. Benchmark</t>
  </si>
  <si>
    <t xml:space="preserve">Cost per 100 sheets vs Kirkland, AmazonCommercial, store brand and Charmin. Your modeled number pulls through live.</t>
  </si>
  <si>
    <t xml:space="preserve">COLOR KEY</t>
  </si>
  <si>
    <t xml:space="preserve">Yellow fill + blue text</t>
  </si>
  <si>
    <t xml:space="preserve">INPUT - you edit these. Nothing else.</t>
  </si>
  <si>
    <t xml:space="preserve">Black text</t>
  </si>
  <si>
    <t xml:space="preserve">Formula. Do not overwrite.</t>
  </si>
  <si>
    <t xml:space="preserve">Green text</t>
  </si>
  <si>
    <t xml:space="preserve">Link pulled from another sheet.</t>
  </si>
  <si>
    <t xml:space="preserve">Green fill</t>
  </si>
  <si>
    <t xml:space="preserve">Key output.</t>
  </si>
  <si>
    <t xml:space="preserve">THE ONE NUMBER THAT MATTERS</t>
  </si>
  <si>
    <t xml:space="preserve">Cost per 100 sheets</t>
  </si>
  <si>
    <t xml:space="preserve">Roll counts and 'Mega roll' math are marketing. Cost per 100 sheets is the only honest unit of comparison, and it is what this model optimizes. Market floor is ~$0.18/100 sheets (Kirkland, AmazonCommercial). National brands sit at $0.30-$0.45.</t>
  </si>
  <si>
    <t xml:space="preserve">CRITICAL MODELING NOTE - DIMENSIONAL WEIGHT</t>
  </si>
  <si>
    <t xml:space="preserve">Why compression matters</t>
  </si>
  <si>
    <t xml:space="preserve">Bath tissue is ~95% air. Carriers bill the GREATER of actual and dimensional weight, so an uncompressed 30-roll pack bills at roughly 17 lb against 7 lb of actual weight. The 'Compression saving' input on the Assumptions tab is the single highest-leverage lever in this workbook. Ask every converter about compressed/high-density winding.</t>
  </si>
  <si>
    <t xml:space="preserve">SOURCES FOR PRE-FILLED DEFAULTS</t>
  </si>
  <si>
    <t xml:space="preserve">Parent roll $/ton</t>
  </si>
  <si>
    <t xml:space="preserve">Recycled/mixed $900-1,050; standard virgin $950-1,200; premium virgin $1,200-1,300+. Fastmarkets US tissue parent roll assessments and Roxipaper 2026 B2B jumbo roll price guide. Default set to $1,000.</t>
  </si>
  <si>
    <t xml:space="preserve">Rolls per pallet</t>
  </si>
  <si>
    <t xml:space="preserve">1,920 rolls per pallet - observed pallet-lot listing (1001 Pallet Liquidation).</t>
  </si>
  <si>
    <t xml:space="preserve">Rolls per 40ft container</t>
  </si>
  <si>
    <t xml:space="preserve">56,160 rolls. Source: Accio wholesale toilet paper roll sourcing guide.</t>
  </si>
  <si>
    <t xml:space="preserve">MOQ range</t>
  </si>
  <si>
    <t xml:space="preserve">500 to 250,000 rolls across the market; most converters price wholesale at 10,000+ rolls. Source: Accio; Top Source Hygiene 2026 landed cost &amp; ROI guide.</t>
  </si>
  <si>
    <t xml:space="preserve">Benchmark retail prices</t>
  </si>
  <si>
    <t xml:space="preserve">Kirkland Signature 30x380 at $20.99 = $0.184/100 sheets; AmazonCommercial 36x286 at $18.54 S&amp;S = ~$0.18/100 sheets. Slickdeals, Everyday Cheapskate, Who Gives A Crap cost-per-sheet analysis.</t>
  </si>
  <si>
    <t xml:space="preserve">Parcel rates</t>
  </si>
  <si>
    <t xml:space="preserve">ESTIMATES ONLY, built to approximate published ground rates including fuel and residential surcharge. Not quoted. Replace before use.</t>
  </si>
  <si>
    <t xml:space="preserve">DIM divisor 139</t>
  </si>
  <si>
    <t xml:space="preserve">Standard retail ground DIM divisor. Negotiated contracts commonly reach 166 - if you get 166, change the input; it is worth real money.</t>
  </si>
  <si>
    <t xml:space="preserve">BUILT</t>
  </si>
  <si>
    <t xml:space="preserve">Date</t>
  </si>
  <si>
    <t xml:space="preserve">28 July 2026</t>
  </si>
  <si>
    <t xml:space="preserve">Scope</t>
  </si>
  <si>
    <t xml:space="preserve">2-ply, 4.0in x 4.0in sheet, 300 sheets/roll value grade, US retail / DTC.</t>
  </si>
  <si>
    <t xml:space="preserve">MASTER ASSUMPTIONS</t>
  </si>
  <si>
    <t xml:space="preserve">Edit yellow cells only. Everything else is formula-driven.</t>
  </si>
  <si>
    <t xml:space="preserve">1. PRODUCT SPECIFICATION</t>
  </si>
  <si>
    <t xml:space="preserve">Sheet width</t>
  </si>
  <si>
    <t xml:space="preserve">in</t>
  </si>
  <si>
    <t xml:space="preserve">Spec a FULL 4.0in sheet. National brands have shrunk below this - it is your anti-shrinkflation claim.</t>
  </si>
  <si>
    <t xml:space="preserve">Sheet length</t>
  </si>
  <si>
    <t xml:space="preserve">Sheets per roll</t>
  </si>
  <si>
    <t xml:space="preserve">sheets</t>
  </si>
  <si>
    <t xml:space="preserve">Plies</t>
  </si>
  <si>
    <t xml:space="preserve">ply</t>
  </si>
  <si>
    <t xml:space="preserve">Basis weight per ply</t>
  </si>
  <si>
    <t xml:space="preserve">gsm</t>
  </si>
  <si>
    <t xml:space="preserve">13-15 gsm is the value-grade 2-ply band. Below 13 you lose the 'same quality as name brands' claim.</t>
  </si>
  <si>
    <t xml:space="preserve">Core weight</t>
  </si>
  <si>
    <t xml:space="preserve">g</t>
  </si>
  <si>
    <t xml:space="preserve">Roll diameter (uncompressed)</t>
  </si>
  <si>
    <t xml:space="preserve">Sheet area</t>
  </si>
  <si>
    <t xml:space="preserve">sq in</t>
  </si>
  <si>
    <t xml:space="preserve">sq m</t>
  </si>
  <si>
    <t xml:space="preserve">1 sq in = 0.00064516 sq m</t>
  </si>
  <si>
    <t xml:space="preserve">Total basis weight (all plies)</t>
  </si>
  <si>
    <t xml:space="preserve">Fiber weight per roll</t>
  </si>
  <si>
    <t xml:space="preserve">Total roll weight (incl. core)</t>
  </si>
  <si>
    <t xml:space="preserve">Roll weight</t>
  </si>
  <si>
    <t xml:space="preserve">lb</t>
  </si>
  <si>
    <t xml:space="preserve">1 lb = 453.592 g</t>
  </si>
  <si>
    <t xml:space="preserve">Square feet per roll</t>
  </si>
  <si>
    <t xml:space="preserve">sq ft</t>
  </si>
  <si>
    <t xml:space="preserve">Print this on the front of the pack.</t>
  </si>
  <si>
    <t xml:space="preserve">2. EX-WORKS COST BUILD-UP</t>
  </si>
  <si>
    <t xml:space="preserve">Parent roll price</t>
  </si>
  <si>
    <t xml:space="preserve">$/short ton</t>
  </si>
  <si>
    <t xml:space="preserve">Recycled/mixed $900-1,050. Standard virgin $950-1,200. Premium virgin $1,200-1,300+.</t>
  </si>
  <si>
    <t xml:space="preserve">Pounds per short ton</t>
  </si>
  <si>
    <t xml:space="preserve">Fiber cost per roll</t>
  </si>
  <si>
    <t xml:space="preserve">$/roll</t>
  </si>
  <si>
    <t xml:space="preserve">Converting, labor &amp; waste uplift</t>
  </si>
  <si>
    <t xml:space="preserve">%</t>
  </si>
  <si>
    <t xml:space="preserve">Converting typically adds 60-100% on top of fiber. Push back on any quote implying more.</t>
  </si>
  <si>
    <t xml:space="preserve">Core + wrap + label</t>
  </si>
  <si>
    <t xml:space="preserve">Modeled ex-works cost</t>
  </si>
  <si>
    <t xml:space="preserve">Target band: $0.18-$0.24/roll.</t>
  </si>
  <si>
    <t xml:space="preserve">ACTUAL QUOTED ex-works (0 = use model)</t>
  </si>
  <si>
    <t xml:space="preserve">Once a converter quotes you, enter it here and the whole model switches to the real number.</t>
  </si>
  <si>
    <t xml:space="preserve">EX-WORKS COST USED</t>
  </si>
  <si>
    <t xml:space="preserve">3. PACK CONFIGURATION &amp; CUBE</t>
  </si>
  <si>
    <t xml:space="preserve">Rolls per pack (base case)</t>
  </si>
  <si>
    <t xml:space="preserve">rolls</t>
  </si>
  <si>
    <t xml:space="preserve">Never dropship below 24. Small packs lose money on every order.</t>
  </si>
  <si>
    <t xml:space="preserve">Compression saving vs uncompressed</t>
  </si>
  <si>
    <t xml:space="preserve">HIGHEST-LEVERAGE INPUT IN THE MODEL. Compressed winding cuts cube ~30% at identical sheet count.</t>
  </si>
  <si>
    <t xml:space="preserve">Carton tare weight</t>
  </si>
  <si>
    <t xml:space="preserve">Design the retail carton AS the shipper - saves a box, void fill and a labor step.</t>
  </si>
  <si>
    <t xml:space="preserve">DIM divisor</t>
  </si>
  <si>
    <t xml:space="preserve">139 = standard retail ground. Negotiate to 166 if you can; it is worth real money on this product.</t>
  </si>
  <si>
    <t xml:space="preserve">Bounding cube per roll</t>
  </si>
  <si>
    <t xml:space="preserve">cu in</t>
  </si>
  <si>
    <t xml:space="preserve">Pack actual weight</t>
  </si>
  <si>
    <t xml:space="preserve">Pack cube (compressed)</t>
  </si>
  <si>
    <t xml:space="preserve">Pack DIM weight</t>
  </si>
  <si>
    <t xml:space="preserve">PACK BILLED WEIGHT</t>
  </si>
  <si>
    <t xml:space="preserve">Carrier bills the greater of actual and DIM.</t>
  </si>
  <si>
    <t xml:space="preserve">4. INBOUND FREIGHT (converter to your 3PL)</t>
  </si>
  <si>
    <t xml:space="preserve">Freight mode</t>
  </si>
  <si>
    <t xml:space="preserve">TL</t>
  </si>
  <si>
    <t xml:space="preserve">Enter exactly: LTL, TL or OCEAN</t>
  </si>
  <si>
    <t xml:space="preserve">Pallets per 53ft trailer</t>
  </si>
  <si>
    <t xml:space="preserve">pallets</t>
  </si>
  <si>
    <t xml:space="preserve">LTL cost per pallet</t>
  </si>
  <si>
    <t xml:space="preserve">$/pallet</t>
  </si>
  <si>
    <t xml:space="preserve">Truckload cost</t>
  </si>
  <si>
    <t xml:space="preserve">$/trailer</t>
  </si>
  <si>
    <t xml:space="preserve">Source: Accio wholesale sourcing guide.</t>
  </si>
  <si>
    <t xml:space="preserve">Ocean freight per 40ft container</t>
  </si>
  <si>
    <t xml:space="preserve">$/container</t>
  </si>
  <si>
    <t xml:space="preserve">Door-to-door estimate. Get a real quote before comparing offshore to domestic.</t>
  </si>
  <si>
    <t xml:space="preserve">Duty / tariff on goods value</t>
  </si>
  <si>
    <t xml:space="preserve">Set only for OCEAN mode. Check current HTS rate before relying on this.</t>
  </si>
  <si>
    <t xml:space="preserve">Inbound freight per roll</t>
  </si>
  <si>
    <t xml:space="preserve">Duty per roll</t>
  </si>
  <si>
    <t xml:space="preserve">LANDED COST AT 3PL</t>
  </si>
  <si>
    <t xml:space="preserve">5. FULFILLMENT</t>
  </si>
  <si>
    <t xml:space="preserve">Pick &amp; pack per order</t>
  </si>
  <si>
    <t xml:space="preserve">$/order</t>
  </si>
  <si>
    <t xml:space="preserve">Outbound label &amp; packaging per order</t>
  </si>
  <si>
    <t xml:space="preserve">3PL storage</t>
  </si>
  <si>
    <t xml:space="preserve">$/pallet/mo</t>
  </si>
  <si>
    <t xml:space="preserve">Inventory turns per month</t>
  </si>
  <si>
    <t xml:space="preserve">x</t>
  </si>
  <si>
    <t xml:space="preserve">Guarded against zero in the formula below.</t>
  </si>
  <si>
    <t xml:space="preserve">Storage cost per roll</t>
  </si>
  <si>
    <t xml:space="preserve">6. COMMERCIAL</t>
  </si>
  <si>
    <t xml:space="preserve">Target retail price per 100 sheets</t>
  </si>
  <si>
    <t xml:space="preserve">$/100 sh</t>
  </si>
  <si>
    <t xml:space="preserve">Kirkland is $0.184 and AmazonCommercial ~$0.18. Nationals are $0.30-$0.45. You are selling delivered convenience plus an honesty story.</t>
  </si>
  <si>
    <t xml:space="preserve">Payment processing</t>
  </si>
  <si>
    <t xml:space="preserve">Payment processing fixed</t>
  </si>
  <si>
    <t xml:space="preserve">Revenue per base-case pack</t>
  </si>
  <si>
    <t xml:space="preserve">$/pack</t>
  </si>
  <si>
    <t xml:space="preserve">SUPPLIER / CONVERTER TRACKER</t>
  </si>
  <si>
    <t xml:space="preserve">Blue columns = you fill in as quotes arrive. Score S1-S5 on a 1-5 scale (5 = best). Weighted score ranks the field.</t>
  </si>
  <si>
    <t xml:space="preserve">Weights &gt;&gt;</t>
  </si>
  <si>
    <t xml:space="preserve">Supplier</t>
  </si>
  <si>
    <t xml:space="preserve">Tier</t>
  </si>
  <si>
    <t xml:space="preserve">Country</t>
  </si>
  <si>
    <t xml:space="preserve">Location / Plants</t>
  </si>
  <si>
    <t xml:space="preserve">Website</t>
  </si>
  <si>
    <t xml:space="preserve">Private Label?</t>
  </si>
  <si>
    <t xml:space="preserve">Published MOQ</t>
  </si>
  <si>
    <t xml:space="preserve">Quoted MOQ (rolls)</t>
  </si>
  <si>
    <t xml:space="preserve">$/roll @ 10k</t>
  </si>
  <si>
    <t xml:space="preserve">$/roll @ 50k</t>
  </si>
  <si>
    <t xml:space="preserve">$/roll @ 1 TL</t>
  </si>
  <si>
    <t xml:space="preserve">Setup / plate fee</t>
  </si>
  <si>
    <t xml:space="preserve">Lead time (wks)</t>
  </si>
  <si>
    <t xml:space="preserve">Compressed wind?</t>
  </si>
  <si>
    <t xml:space="preserve">Blind ship?</t>
  </si>
  <si>
    <t xml:space="preserve">Sample recd</t>
  </si>
  <si>
    <t xml:space="preserve">S1 Price</t>
  </si>
  <si>
    <t xml:space="preserve">S2 MOQ fit</t>
  </si>
  <si>
    <t xml:space="preserve">S3 Blind ship</t>
  </si>
  <si>
    <t xml:space="preserve">S4 Compression</t>
  </si>
  <si>
    <t xml:space="preserve">S5 Lead time</t>
  </si>
  <si>
    <t xml:space="preserve">WEIGHTED SCORE</t>
  </si>
  <si>
    <t xml:space="preserve">Status</t>
  </si>
  <si>
    <t xml:space="preserve">Notes</t>
  </si>
  <si>
    <t xml:space="preserve">Royal Paper</t>
  </si>
  <si>
    <t xml:space="preserve">USA</t>
  </si>
  <si>
    <t xml:space="preserve">Phoenix AZ + South Carolina</t>
  </si>
  <si>
    <t xml:space="preserve">royalpaper.us/private-label/</t>
  </si>
  <si>
    <t xml:space="preserve">Yes - core business</t>
  </si>
  <si>
    <t xml:space="preserve">Request</t>
  </si>
  <si>
    <t xml:space="preserve">Not contacted</t>
  </si>
  <si>
    <t xml:space="preserve">Largest privately-owned US private-label tissue producer. Dual-coast plants let you run East+West 3PL off ONE supplier. START HERE.</t>
  </si>
  <si>
    <t xml:space="preserve">Global Tissue Group</t>
  </si>
  <si>
    <t xml:space="preserve">Hauppauge NY</t>
  </si>
  <si>
    <t xml:space="preserve">globaltissuegroup.com/private-brand-solutions</t>
  </si>
  <si>
    <t xml:space="preserve">Private brand + contract manufacturing is their entire model. Explicitly positions to help brands compete with nationals. Best East Coast partner.</t>
  </si>
  <si>
    <t xml:space="preserve">Domtar Tissue</t>
  </si>
  <si>
    <t xml:space="preserve">Multiple US mills</t>
  </si>
  <si>
    <t xml:space="preserve">domtar.com/tissue/retail-private-label-tissue-towel/</t>
  </si>
  <si>
    <t xml:space="preserve">Yes - retail private label div.</t>
  </si>
  <si>
    <t xml:space="preserve">Markets 'name-brand equivalent' bath tissue for private brand programs - literally your brief. Integrated pulp = stable pricing.</t>
  </si>
  <si>
    <t xml:space="preserve">Solaris Paper</t>
  </si>
  <si>
    <t xml:space="preserve">Green Bay WI (Asia Pulp &amp; Paper NA)</t>
  </si>
  <si>
    <t xml:space="preserve">solarispaper.com</t>
  </si>
  <si>
    <t xml:space="preserve">Yes - premium private brand</t>
  </si>
  <si>
    <t xml:space="preserve">APP-backed, deepest fiber integration in the group. Most stable pricing if pulp rises. Best for scale-up phase.</t>
  </si>
  <si>
    <t xml:space="preserve">Von Drehle</t>
  </si>
  <si>
    <t xml:space="preserve">Hickory NC / Cordova TN</t>
  </si>
  <si>
    <t xml:space="preserve">vondrehle.com</t>
  </si>
  <si>
    <t xml:space="preserve">Yes</t>
  </si>
  <si>
    <t xml:space="preserve">Family-owned, aggressive on value grades, strong away-from-home crossover.</t>
  </si>
  <si>
    <t xml:space="preserve">First Quality Enterprises</t>
  </si>
  <si>
    <t xml:space="preserve">Lock Haven PA</t>
  </si>
  <si>
    <t xml:space="preserve">firstquality.com</t>
  </si>
  <si>
    <t xml:space="preserve">Yes - flexible programs</t>
  </si>
  <si>
    <t xml:space="preserve">ISO-certified, flexible private label programs. Retail and healthcare.</t>
  </si>
  <si>
    <t xml:space="preserve">Marcal</t>
  </si>
  <si>
    <t xml:space="preserve">Elmwood Park NJ</t>
  </si>
  <si>
    <t xml:space="preserve">marcalpaper.com</t>
  </si>
  <si>
    <t xml:space="preserve">100% recycled. Costs slightly more but hands you a sustainability story with a 70-year American mill pedigree behind it.</t>
  </si>
  <si>
    <t xml:space="preserve">Select Products Holdings</t>
  </si>
  <si>
    <t xml:space="preserve">selectproductsholdings.com</t>
  </si>
  <si>
    <t xml:space="preserve">Yes - private label only</t>
  </si>
  <si>
    <t xml:space="preserve">Full-service converter, private-label consumer tissue exclusively.</t>
  </si>
  <si>
    <t xml:space="preserve">E&amp;L Tissue Paper</t>
  </si>
  <si>
    <t xml:space="preserve">Cleveland OH</t>
  </si>
  <si>
    <t xml:space="preserve">paperindex.com (profile)</t>
  </si>
  <si>
    <t xml:space="preserve">Lower - ask</t>
  </si>
  <si>
    <t xml:space="preserve">Smaller converter, 1-ply and 2-ply bath tissue. Good candidate for a sub-10k pilot run.</t>
  </si>
  <si>
    <t xml:space="preserve">Berk International</t>
  </si>
  <si>
    <t xml:space="preserve">Wilmington DE</t>
  </si>
  <si>
    <t xml:space="preserve">berkwiper.com/bulk-tissue-paper/</t>
  </si>
  <si>
    <t xml:space="preserve">Yes + contract converting</t>
  </si>
  <si>
    <t xml:space="preserve">1-ply and 2-ply, made in USA, private label plus contract converting. Pilot-friendly.</t>
  </si>
  <si>
    <t xml:space="preserve">NL Bamboo</t>
  </si>
  <si>
    <t xml:space="preserve">China</t>
  </si>
  <si>
    <t xml:space="preserve">nlbamboo.com/solutions/retail-ecommerce-tissue-supply/</t>
  </si>
  <si>
    <t xml:space="preserve">Yes - OEM/private label</t>
  </si>
  <si>
    <t xml:space="preserve">Low - from ~500</t>
  </si>
  <si>
    <t xml:space="preserve">Dedicated retail/ecommerce program: spec dev, sampling, packaging execution. BAMBOO PRICES PREMIUM - use for process support, not the budget SKU.</t>
  </si>
  <si>
    <t xml:space="preserve">Doba (reference only)</t>
  </si>
  <si>
    <t xml:space="preserve">Aggregator</t>
  </si>
  <si>
    <t xml:space="preserve">doba.com/dropshipping/toilet-paper.html</t>
  </si>
  <si>
    <t xml:space="preserve">NO - generic catalog</t>
  </si>
  <si>
    <t xml:space="preserve">None</t>
  </si>
  <si>
    <t xml:space="preserve">True no-MOQ dropship but generic product; you CANNOT brand it. Arbitrage, not brand-building. Listed for completeness - does not serve the brief.</t>
  </si>
  <si>
    <t xml:space="preserve">SCORING GUIDE (enter 1-5, where 5 = best):</t>
  </si>
  <si>
    <t xml:space="preserve">S1 Price - 5 = at or below $0.20/roll ex-works; 1 = above $0.30</t>
  </si>
  <si>
    <t xml:space="preserve">S2 MOQ fit - 5 = will run under 10,000 rolls; 1 = truckload minimum only</t>
  </si>
  <si>
    <t xml:space="preserve">S3 Blind ship - 5 = will hold your branded stock and blind-ship to consumers; 1 = pallet-out only</t>
  </si>
  <si>
    <t xml:space="preserve">S4 Compression - 5 = compressed/high-density winding available; 1 = uncompressed only</t>
  </si>
  <si>
    <t xml:space="preserve">S5 Lead time - 5 = under 4 weeks; 1 = over 12 weeks</t>
  </si>
  <si>
    <t xml:space="preserve">SOURCES</t>
  </si>
  <si>
    <t xml:space="preserve">Supplier capabilities per company websites and ThomasNet / PaperIndex listings, accessed July 2026.</t>
  </si>
  <si>
    <t xml:space="preserve">MOQ market range (500 - 250,000 rolls; wholesale pricing typically at 10,000+): Accio wholesale toilet paper sourcing guide; Top Source Hygiene 2026 landed cost guide.</t>
  </si>
  <si>
    <t xml:space="preserve">Tier 1 = domestic private-label converter, recommended for volume. Tier 2 = smaller converter, pilot-friendly. Tier 3 = offshore / aggregator.</t>
  </si>
  <si>
    <t xml:space="preserve">PARCEL GROUND RATE TABLE</t>
  </si>
  <si>
    <t xml:space="preserve">PLANNING ESTIMATES ONLY - replace every cell with your negotiated carrier contract before committing capital.</t>
  </si>
  <si>
    <t xml:space="preserve">Billed weight (lb)</t>
  </si>
  <si>
    <t xml:space="preserve">Lookup uses MATCH type 1 (nearest weight break at or below billed weight), so weight breaks must stay in ascending order.</t>
  </si>
  <si>
    <t xml:space="preserve">The 1 lb break exists so small packs still price at the carrier minimum. Without it the lookup returns nothing and small packs look free - which they are not.</t>
  </si>
  <si>
    <t xml:space="preserve">Rates are modeled to approximate published ground rates inclusive of fuel and residential surcharge. They are NOT quoted rates.</t>
  </si>
  <si>
    <t xml:space="preserve">Bulky-item reality check: DIM charges commonly inflate cost 20-30%, and packages over 50 lb or 108in length+girth add $15-40 in surcharges.</t>
  </si>
  <si>
    <t xml:space="preserve">Multi-warehouse (East + West) typically cuts postage 15-25% by shifting orders from Zone 7-8 to Zone 1-3.</t>
  </si>
  <si>
    <t xml:space="preserve">LANDED COST MODEL - ONE CUSTOMER ORDER</t>
  </si>
  <si>
    <t xml:space="preserve">Parent roll to doorstep. Change the two yellow cells below; everything recalculates.</t>
  </si>
  <si>
    <t xml:space="preserve">SCENARIO LEVERS</t>
  </si>
  <si>
    <t xml:space="preserve">Rolls per pack</t>
  </si>
  <si>
    <t xml:space="preserve">Override the base case here without touching the Assumptions tab.</t>
  </si>
  <si>
    <t xml:space="preserve">Parcel zone</t>
  </si>
  <si>
    <t xml:space="preserve">zone 2-8</t>
  </si>
  <si>
    <t xml:space="preserve">Zone 2-3 = regional. Zone 7-8 = cross-country. This is why you split inventory East and West.</t>
  </si>
  <si>
    <t xml:space="preserve">A. UNIT ECONOMICS - PER ROLL</t>
  </si>
  <si>
    <t xml:space="preserve">Ex-works cost per roll</t>
  </si>
  <si>
    <t xml:space="preserve">Storage per roll</t>
  </si>
  <si>
    <t xml:space="preserve">Total cost per roll (pre-fulfillment)</t>
  </si>
  <si>
    <t xml:space="preserve">B. PACK PHYSICS</t>
  </si>
  <si>
    <t xml:space="preserve">BILLED WEIGHT</t>
  </si>
  <si>
    <t xml:space="preserve">Carrier bills the greater of the two. Note how far DIM exceeds actual.</t>
  </si>
  <si>
    <t xml:space="preserve">DIM penalty (billed vs actual)</t>
  </si>
  <si>
    <t xml:space="preserve">If this is large, compression is where your money is.</t>
  </si>
  <si>
    <t xml:space="preserve">C. COST STACK - PER ORDER</t>
  </si>
  <si>
    <t xml:space="preserve">Goods (ex-works)</t>
  </si>
  <si>
    <t xml:space="preserve">$</t>
  </si>
  <si>
    <t xml:space="preserve">Inbound freight</t>
  </si>
  <si>
    <t xml:space="preserve">Duty</t>
  </si>
  <si>
    <t xml:space="preserve">Storage</t>
  </si>
  <si>
    <t xml:space="preserve">Pick &amp; pack</t>
  </si>
  <si>
    <t xml:space="preserve">Label &amp; packaging</t>
  </si>
  <si>
    <t xml:space="preserve">Outbound parcel</t>
  </si>
  <si>
    <t xml:space="preserve">Looked up from the Freight Rates tab by billed weight and zone.</t>
  </si>
  <si>
    <t xml:space="preserve">TOTAL DELIVERED COST</t>
  </si>
  <si>
    <t xml:space="preserve">D. THE HEADLINE NUMBER</t>
  </si>
  <si>
    <t xml:space="preserve">Sheets per pack</t>
  </si>
  <si>
    <t xml:space="preserve">Square feet per pack</t>
  </si>
  <si>
    <t xml:space="preserve">Print on the front of the pack - it is the honest unit.</t>
  </si>
  <si>
    <t xml:space="preserve">DELIVERED COST PER 100 SHEETS</t>
  </si>
  <si>
    <t xml:space="preserve">Compare directly against the Benchmark tab. Market floor is ~$0.18.</t>
  </si>
  <si>
    <t xml:space="preserve">E. MARGIN</t>
  </si>
  <si>
    <t xml:space="preserve">Revenue per pack</t>
  </si>
  <si>
    <t xml:space="preserve">Gross profit per pack</t>
  </si>
  <si>
    <t xml:space="preserve">GROSS MARGIN</t>
  </si>
  <si>
    <t xml:space="preserve">Below ~25% this product cannot fund customer acquisition. If you are under, the levers are: bigger pack, compression, dual-coast 3PL.</t>
  </si>
  <si>
    <t xml:space="preserve">Break-even retail per 100 sheets</t>
  </si>
  <si>
    <t xml:space="preserve">SCENARIO: ROLLS PER PACK  x  PARCEL ZONE</t>
  </si>
  <si>
    <t xml:space="preserve">The core answer. Rows = pack size. Columns = zone. Two output blocks: delivered cost per 100 sheets, and gross margin at your target retail price.</t>
  </si>
  <si>
    <t xml:space="preserve">GROSS MARGIN % AT TARGET RETAIL</t>
  </si>
  <si>
    <t xml:space="preserve">Rolls/pack</t>
  </si>
  <si>
    <t xml:space="preserve">Actual lb</t>
  </si>
  <si>
    <t xml:space="preserve">Cube cu in</t>
  </si>
  <si>
    <t xml:space="preserve">DIM lb</t>
  </si>
  <si>
    <t xml:space="preserve">Billed lb</t>
  </si>
  <si>
    <t xml:space="preserve">Pre-freight $</t>
  </si>
  <si>
    <t xml:space="preserve">READING THIS GRID:</t>
  </si>
  <si>
    <t xml:space="preserve">  - Move DOWN a column: bigger packs spread the fixed pick/pack and parcel cost over more sheets. This is why a 4-pack cannot be dropshipped profitably.</t>
  </si>
  <si>
    <t xml:space="preserve">  - Move RIGHT across a row: the same pack costs materially more to deliver cross-country. Splitting inventory East + West pulls most orders back into the left-hand columns.</t>
  </si>
  <si>
    <t xml:space="preserve">  - Any margin cell below ~25% will not fund customer acquisition. Fix it with pack size or compression before touching price.</t>
  </si>
  <si>
    <t xml:space="preserve">  - Column A is editable - change the pack sizes to whatever you actually intend to sell.</t>
  </si>
  <si>
    <t xml:space="preserve">SCENARIO: ORDER VOLUME  x  FREIGHT MODE</t>
  </si>
  <si>
    <t xml:space="preserve">Procurement view. How landed cost per roll and total capital outlay move with order size and inbound freight mode.</t>
  </si>
  <si>
    <t xml:space="preserve">Order size (rolls)</t>
  </si>
  <si>
    <t xml:space="preserve">Pallets</t>
  </si>
  <si>
    <t xml:space="preserve">Goods cost</t>
  </si>
  <si>
    <t xml:space="preserve">LTL $/roll</t>
  </si>
  <si>
    <t xml:space="preserve">TL $/roll</t>
  </si>
  <si>
    <t xml:space="preserve">Ocean $/roll</t>
  </si>
  <si>
    <t xml:space="preserve">Landed $/roll (best mode)</t>
  </si>
  <si>
    <t xml:space="preserve">Capital outlay</t>
  </si>
  <si>
    <t xml:space="preserve">Sample / pilot run. Non-wholesale pricing - expect a premium.</t>
  </si>
  <si>
    <t xml:space="preserve">Small pilot. Enough to test packaging and messaging.</t>
  </si>
  <si>
    <t xml:space="preserve">Approaching the wholesale threshold. Push for 10k pricing.</t>
  </si>
  <si>
    <t xml:space="preserve">WHOLESALE PRICING THRESHOLD. Most converters price real wholesale here. ~333 x 30-roll packs.</t>
  </si>
  <si>
    <t xml:space="preserve">Comfortable first production run with proven demand.</t>
  </si>
  <si>
    <t xml:space="preserve">One full 53ft truckload (26 pallets x 1,920 rolls).</t>
  </si>
  <si>
    <t xml:space="preserve">One full 40ft ocean container.</t>
  </si>
  <si>
    <t xml:space="preserve">Two truckloads. Negotiate a annual volume agreement at this level.</t>
  </si>
  <si>
    <t xml:space="preserve">PARTIAL LOADS ROUND UP. A 500-roll order still pays for a whole pallet, so its freight per roll is punishing. This is the real reason small first runs cost more than the quoted per-roll price suggests.</t>
  </si>
  <si>
    <t xml:space="preserve">The Assumptions tab uses the steady-state FULL-LOAD rate. This tab shows what your FIRST order actually costs. Use this tab for the go/no-go decision on run size.</t>
  </si>
  <si>
    <t xml:space="preserve">IMPORTANT - 'best mode' is a pure cost comparison and ignores feasibility.</t>
  </si>
  <si>
    <t xml:space="preserve">  - LTL / TL only make sense for a domestic converter. OCEAN only for an offshore one, and only with duty entered on the Assumptions tab.</t>
  </si>
  <si>
    <t xml:space="preserve">  - Ocean looks cheap per roll at container scale, but a 40ft container is ~$11k of goods against ~$3-5k of freight - a 30-45% freight burden, plus 6-10 weeks of lead time and tied-up cash.</t>
  </si>
  <si>
    <t xml:space="preserve">  - Recommendation: quote both, let the landed number decide, but weight domestic heavily for a first run. Speed and low MOQ are worth more than a cent per roll while you are still testing the brand.</t>
  </si>
  <si>
    <t xml:space="preserve">  - MOQ market range is 500 to 250,000 rolls; most converters price wholesale at 10,000+. Your minimum viable first run is roughly $2,000-$3,000 in goods plus plate/artwork fees.</t>
  </si>
  <si>
    <t xml:space="preserve">COMPETITIVE BENCHMARK - COST PER 100 SHEETS</t>
  </si>
  <si>
    <t xml:space="preserve">Roll counts and 'Mega roll' math are marketing. This is the only honest comparison.</t>
  </si>
  <si>
    <t xml:space="preserve">Product</t>
  </si>
  <si>
    <t xml:space="preserve">Pack price</t>
  </si>
  <si>
    <t xml:space="preserve">Rolls</t>
  </si>
  <si>
    <t xml:space="preserve">Sheets/roll</t>
  </si>
  <si>
    <t xml:space="preserve">Total sheets</t>
  </si>
  <si>
    <t xml:space="preserve">$/100 sheets</t>
  </si>
  <si>
    <t xml:space="preserve">vs our brand</t>
  </si>
  <si>
    <t xml:space="preserve">Note</t>
  </si>
  <si>
    <t xml:space="preserve">Kirkland Signature (Costco)</t>
  </si>
  <si>
    <t xml:space="preserve">Warehouse floor price. Requires membership and a car - that gap is your opening.</t>
  </si>
  <si>
    <t xml:space="preserve">AmazonCommercial Ultra Strong</t>
  </si>
  <si>
    <t xml:space="preserve">36-pack, Subscribe &amp; Save price. Your closest true competitor.</t>
  </si>
  <si>
    <t xml:space="preserve">Typical grocery store brand</t>
  </si>
  <si>
    <t xml:space="preserve">Illustrative. Update with your own shelf checks.</t>
  </si>
  <si>
    <t xml:space="preserve">Charmin / Cottonelle (national)</t>
  </si>
  <si>
    <t xml:space="preserve">Illustrative national brand. Update with your own shelf checks.</t>
  </si>
  <si>
    <t xml:space="preserve">OUR BRAND (delivered, from model)</t>
  </si>
  <si>
    <t xml:space="preserve">This is our DELIVERED cost (incl. parcel to the customer). The competitor rows are SHELF prices with no delivery - the comparison is deliberately conservative against us.</t>
  </si>
  <si>
    <t xml:space="preserve">OUR BRAND (target retail)</t>
  </si>
  <si>
    <t xml:space="preserve">Target retail from Assumptions. Should land below every national brand and above the warehouse floor.</t>
  </si>
  <si>
    <t xml:space="preserve">Kirkland Signature: 30 rolls x 380 sheets at $20.99 warehouse = $0.184 per 100 sheets.</t>
  </si>
  <si>
    <t xml:space="preserve">AmazonCommercial 2-ply Ultra Strong: 36 x 286 sheets at $18.54 with Subscribe &amp; Save = ~$0.18 per 100 sheets (Slickdeals listings, 2026).</t>
  </si>
  <si>
    <t xml:space="preserve">Category context: store brands commonly match premium quality at 30-50% less (Everyday Cheapskate; Who Gives A Crap cost-per-sheet analysis).</t>
  </si>
  <si>
    <t xml:space="preserve">Grocery store brand and national brand rows are ILLUSTRATIVE placeholders - replace with your own shelf checks before relying on them.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</si>
</sst>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#,##0"/>
    <numFmt numFmtId="167" formatCode="0.000000"/>
    <numFmt numFmtId="168" formatCode="0.0000"/>
    <numFmt numFmtId="169" formatCode="\$#,##0;&quot;($&quot;#,##0\);\-"/>
    <numFmt numFmtId="170" formatCode="\$#,##0.0000;&quot;($&quot;#,##0.0000\);\-"/>
    <numFmt numFmtId="171" formatCode="0.0%"/>
    <numFmt numFmtId="172" formatCode="\$#,##0.000;&quot;($&quot;#,##0.000\);\-"/>
    <numFmt numFmtId="173" formatCode="\$#,##0.00;&quot;($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i val="true"/>
      <sz val="9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3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30" hidden="false" customHeight="true" outlineLevel="0" collapsed="false">
      <c r="B6" s="5" t="s">
        <v>3</v>
      </c>
      <c r="C6" s="6" t="s">
        <v>4</v>
      </c>
    </row>
    <row r="7" customFormat="false" ht="30" hidden="false" customHeight="true" outlineLevel="0" collapsed="false">
      <c r="B7" s="5" t="s">
        <v>5</v>
      </c>
      <c r="C7" s="6" t="s">
        <v>6</v>
      </c>
    </row>
    <row r="8" customFormat="false" ht="30" hidden="false" customHeight="true" outlineLevel="0" collapsed="false">
      <c r="B8" s="5" t="s">
        <v>7</v>
      </c>
      <c r="C8" s="6" t="s">
        <v>8</v>
      </c>
    </row>
    <row r="9" customFormat="false" ht="30" hidden="false" customHeight="true" outlineLevel="0" collapsed="false">
      <c r="B9" s="5" t="s">
        <v>9</v>
      </c>
      <c r="C9" s="6" t="s">
        <v>10</v>
      </c>
    </row>
    <row r="10" customFormat="false" ht="30" hidden="false" customHeight="true" outlineLevel="0" collapsed="false">
      <c r="B10" s="5" t="s">
        <v>11</v>
      </c>
      <c r="C10" s="6" t="s">
        <v>12</v>
      </c>
    </row>
    <row r="11" customFormat="false" ht="30" hidden="false" customHeight="true" outlineLevel="0" collapsed="false">
      <c r="B11" s="5" t="s">
        <v>13</v>
      </c>
      <c r="C11" s="6" t="s">
        <v>14</v>
      </c>
    </row>
    <row r="12" customFormat="false" ht="30" hidden="false" customHeight="true" outlineLevel="0" collapsed="false">
      <c r="B12" s="5" t="s">
        <v>15</v>
      </c>
      <c r="C12" s="6" t="s">
        <v>16</v>
      </c>
    </row>
    <row r="14" customFormat="false" ht="15" hidden="false" customHeight="false" outlineLevel="0" collapsed="false">
      <c r="B14" s="3" t="s">
        <v>17</v>
      </c>
      <c r="C14" s="4"/>
    </row>
    <row r="15" customFormat="false" ht="15" hidden="false" customHeight="true" outlineLevel="0" collapsed="false">
      <c r="B15" s="5" t="s">
        <v>18</v>
      </c>
      <c r="C15" s="6" t="s">
        <v>19</v>
      </c>
    </row>
    <row r="16" customFormat="false" ht="15" hidden="false" customHeight="true" outlineLevel="0" collapsed="false">
      <c r="B16" s="5" t="s">
        <v>20</v>
      </c>
      <c r="C16" s="6" t="s">
        <v>21</v>
      </c>
    </row>
    <row r="17" customFormat="false" ht="15" hidden="false" customHeight="true" outlineLevel="0" collapsed="false">
      <c r="B17" s="5" t="s">
        <v>22</v>
      </c>
      <c r="C17" s="6" t="s">
        <v>23</v>
      </c>
    </row>
    <row r="18" customFormat="false" ht="15" hidden="false" customHeight="true" outlineLevel="0" collapsed="false">
      <c r="B18" s="5" t="s">
        <v>24</v>
      </c>
      <c r="C18" s="6" t="s">
        <v>25</v>
      </c>
    </row>
    <row r="20" customFormat="false" ht="15" hidden="false" customHeight="false" outlineLevel="0" collapsed="false">
      <c r="B20" s="3" t="s">
        <v>26</v>
      </c>
      <c r="C20" s="4"/>
    </row>
    <row r="21" customFormat="false" ht="45" hidden="false" customHeight="true" outlineLevel="0" collapsed="false">
      <c r="B21" s="5" t="s">
        <v>27</v>
      </c>
      <c r="C21" s="6" t="s">
        <v>28</v>
      </c>
    </row>
    <row r="23" customFormat="false" ht="15" hidden="false" customHeight="false" outlineLevel="0" collapsed="false">
      <c r="B23" s="3" t="s">
        <v>29</v>
      </c>
      <c r="C23" s="4"/>
    </row>
    <row r="24" customFormat="false" ht="60" hidden="false" customHeight="true" outlineLevel="0" collapsed="false">
      <c r="B24" s="5" t="s">
        <v>30</v>
      </c>
      <c r="C24" s="6" t="s">
        <v>31</v>
      </c>
    </row>
    <row r="26" customFormat="false" ht="15" hidden="false" customHeight="false" outlineLevel="0" collapsed="false">
      <c r="B26" s="3" t="s">
        <v>32</v>
      </c>
      <c r="C26" s="4"/>
    </row>
    <row r="27" customFormat="false" ht="45" hidden="false" customHeight="true" outlineLevel="0" collapsed="false">
      <c r="B27" s="5" t="s">
        <v>33</v>
      </c>
      <c r="C27" s="6" t="s">
        <v>34</v>
      </c>
    </row>
    <row r="28" customFormat="false" ht="15" hidden="false" customHeight="true" outlineLevel="0" collapsed="false">
      <c r="B28" s="5" t="s">
        <v>35</v>
      </c>
      <c r="C28" s="6" t="s">
        <v>36</v>
      </c>
    </row>
    <row r="29" customFormat="false" ht="15" hidden="false" customHeight="true" outlineLevel="0" collapsed="false">
      <c r="B29" s="5" t="s">
        <v>37</v>
      </c>
      <c r="C29" s="6" t="s">
        <v>38</v>
      </c>
    </row>
    <row r="30" customFormat="false" ht="30" hidden="false" customHeight="true" outlineLevel="0" collapsed="false">
      <c r="B30" s="5" t="s">
        <v>39</v>
      </c>
      <c r="C30" s="6" t="s">
        <v>40</v>
      </c>
    </row>
    <row r="31" customFormat="false" ht="45" hidden="false" customHeight="true" outlineLevel="0" collapsed="false">
      <c r="B31" s="5" t="s">
        <v>41</v>
      </c>
      <c r="C31" s="6" t="s">
        <v>42</v>
      </c>
    </row>
    <row r="32" customFormat="false" ht="30" hidden="false" customHeight="true" outlineLevel="0" collapsed="false">
      <c r="B32" s="5" t="s">
        <v>43</v>
      </c>
      <c r="C32" s="6" t="s">
        <v>44</v>
      </c>
    </row>
    <row r="33" customFormat="false" ht="30" hidden="false" customHeight="true" outlineLevel="0" collapsed="false">
      <c r="B33" s="5" t="s">
        <v>45</v>
      </c>
      <c r="C33" s="6" t="s">
        <v>46</v>
      </c>
    </row>
    <row r="35" customFormat="false" ht="15" hidden="false" customHeight="false" outlineLevel="0" collapsed="false">
      <c r="B35" s="3" t="s">
        <v>47</v>
      </c>
      <c r="C35" s="4"/>
    </row>
    <row r="36" customFormat="false" ht="15" hidden="false" customHeight="true" outlineLevel="0" collapsed="false">
      <c r="B36" s="5" t="s">
        <v>48</v>
      </c>
      <c r="C36" s="6" t="s">
        <v>49</v>
      </c>
    </row>
    <row r="37" customFormat="false" ht="15" hidden="false" customHeight="true" outlineLevel="0" collapsed="false">
      <c r="B37" s="5" t="s">
        <v>50</v>
      </c>
      <c r="C37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2"/>
  </cols>
  <sheetData>
    <row r="2" customFormat="false" ht="17.35" hidden="false" customHeight="false" outlineLevel="0" collapsed="false">
      <c r="B2" s="1" t="s">
        <v>52</v>
      </c>
    </row>
    <row r="3" customFormat="false" ht="15" hidden="false" customHeight="false" outlineLevel="0" collapsed="false">
      <c r="B3" s="7" t="s">
        <v>53</v>
      </c>
    </row>
    <row r="5" customFormat="false" ht="15" hidden="false" customHeight="false" outlineLevel="0" collapsed="false">
      <c r="B5" s="3" t="s">
        <v>54</v>
      </c>
      <c r="C5" s="4"/>
      <c r="D5" s="4"/>
      <c r="E5" s="4"/>
    </row>
    <row r="6" customFormat="false" ht="15" hidden="false" customHeight="false" outlineLevel="0" collapsed="false">
      <c r="B6" s="5" t="s">
        <v>55</v>
      </c>
      <c r="C6" s="8" t="n">
        <v>4</v>
      </c>
      <c r="D6" s="7" t="s">
        <v>56</v>
      </c>
      <c r="E6" s="9" t="s">
        <v>57</v>
      </c>
    </row>
    <row r="7" customFormat="false" ht="15" hidden="false" customHeight="false" outlineLevel="0" collapsed="false">
      <c r="B7" s="5" t="s">
        <v>58</v>
      </c>
      <c r="C7" s="8" t="n">
        <v>4</v>
      </c>
      <c r="D7" s="7" t="s">
        <v>56</v>
      </c>
    </row>
    <row r="8" customFormat="false" ht="15" hidden="false" customHeight="false" outlineLevel="0" collapsed="false">
      <c r="B8" s="5" t="s">
        <v>59</v>
      </c>
      <c r="C8" s="10" t="n">
        <v>300</v>
      </c>
      <c r="D8" s="7" t="s">
        <v>60</v>
      </c>
    </row>
    <row r="9" customFormat="false" ht="15" hidden="false" customHeight="false" outlineLevel="0" collapsed="false">
      <c r="B9" s="5" t="s">
        <v>61</v>
      </c>
      <c r="C9" s="10" t="n">
        <v>2</v>
      </c>
      <c r="D9" s="7" t="s">
        <v>62</v>
      </c>
    </row>
    <row r="10" customFormat="false" ht="15" hidden="false" customHeight="false" outlineLevel="0" collapsed="false">
      <c r="B10" s="5" t="s">
        <v>63</v>
      </c>
      <c r="C10" s="8" t="n">
        <v>14</v>
      </c>
      <c r="D10" s="7" t="s">
        <v>64</v>
      </c>
      <c r="E10" s="9" t="s">
        <v>65</v>
      </c>
    </row>
    <row r="11" customFormat="false" ht="15" hidden="false" customHeight="false" outlineLevel="0" collapsed="false">
      <c r="B11" s="5" t="s">
        <v>66</v>
      </c>
      <c r="C11" s="8" t="n">
        <v>5</v>
      </c>
      <c r="D11" s="7" t="s">
        <v>67</v>
      </c>
    </row>
    <row r="12" customFormat="false" ht="15" hidden="false" customHeight="false" outlineLevel="0" collapsed="false">
      <c r="B12" s="5" t="s">
        <v>68</v>
      </c>
      <c r="C12" s="8" t="n">
        <v>4.5</v>
      </c>
      <c r="D12" s="7" t="s">
        <v>56</v>
      </c>
    </row>
    <row r="13" customFormat="false" ht="15" hidden="false" customHeight="false" outlineLevel="0" collapsed="false">
      <c r="B13" s="11" t="s">
        <v>69</v>
      </c>
      <c r="C13" s="12" t="n">
        <f aca="false">$C$6*$C$7</f>
        <v>16</v>
      </c>
      <c r="D13" s="7" t="s">
        <v>70</v>
      </c>
    </row>
    <row r="14" customFormat="false" ht="15" hidden="false" customHeight="false" outlineLevel="0" collapsed="false">
      <c r="B14" s="11" t="s">
        <v>69</v>
      </c>
      <c r="C14" s="13" t="n">
        <f aca="false">$C$13*0.00064516</f>
        <v>0.01032256</v>
      </c>
      <c r="D14" s="7" t="s">
        <v>71</v>
      </c>
      <c r="E14" s="9" t="s">
        <v>72</v>
      </c>
    </row>
    <row r="15" customFormat="false" ht="15" hidden="false" customHeight="false" outlineLevel="0" collapsed="false">
      <c r="B15" s="11" t="s">
        <v>73</v>
      </c>
      <c r="C15" s="12" t="n">
        <f aca="false">$C$10*$C$9</f>
        <v>28</v>
      </c>
      <c r="D15" s="7" t="s">
        <v>64</v>
      </c>
    </row>
    <row r="16" customFormat="false" ht="15" hidden="false" customHeight="false" outlineLevel="0" collapsed="false">
      <c r="B16" s="11" t="s">
        <v>74</v>
      </c>
      <c r="C16" s="12" t="n">
        <f aca="false">$C$14*$C$15*$C$8</f>
        <v>86.709504</v>
      </c>
      <c r="D16" s="7" t="s">
        <v>67</v>
      </c>
    </row>
    <row r="17" customFormat="false" ht="15" hidden="false" customHeight="false" outlineLevel="0" collapsed="false">
      <c r="B17" s="11" t="s">
        <v>75</v>
      </c>
      <c r="C17" s="12" t="n">
        <f aca="false">$C$16+$C$11</f>
        <v>91.709504</v>
      </c>
      <c r="D17" s="7" t="s">
        <v>67</v>
      </c>
    </row>
    <row r="18" customFormat="false" ht="15" hidden="false" customHeight="false" outlineLevel="0" collapsed="false">
      <c r="B18" s="11" t="s">
        <v>76</v>
      </c>
      <c r="C18" s="14" t="n">
        <f aca="false">$C$17/453.592</f>
        <v>0.202185012081342</v>
      </c>
      <c r="D18" s="7" t="s">
        <v>77</v>
      </c>
      <c r="E18" s="9" t="s">
        <v>78</v>
      </c>
    </row>
    <row r="19" customFormat="false" ht="15" hidden="false" customHeight="false" outlineLevel="0" collapsed="false">
      <c r="B19" s="11" t="s">
        <v>79</v>
      </c>
      <c r="C19" s="12" t="n">
        <f aca="false">$C$13*$C$8/144</f>
        <v>33.3333333333333</v>
      </c>
      <c r="D19" s="7" t="s">
        <v>80</v>
      </c>
      <c r="E19" s="9" t="s">
        <v>81</v>
      </c>
    </row>
    <row r="21" customFormat="false" ht="15" hidden="false" customHeight="false" outlineLevel="0" collapsed="false">
      <c r="B21" s="3" t="s">
        <v>82</v>
      </c>
      <c r="C21" s="4"/>
      <c r="D21" s="4"/>
      <c r="E21" s="4"/>
    </row>
    <row r="22" customFormat="false" ht="15" hidden="false" customHeight="false" outlineLevel="0" collapsed="false">
      <c r="B22" s="5" t="s">
        <v>83</v>
      </c>
      <c r="C22" s="15" t="n">
        <v>1000</v>
      </c>
      <c r="D22" s="7" t="s">
        <v>84</v>
      </c>
      <c r="E22" s="9" t="s">
        <v>85</v>
      </c>
    </row>
    <row r="23" customFormat="false" ht="15" hidden="false" customHeight="false" outlineLevel="0" collapsed="false">
      <c r="B23" s="5" t="s">
        <v>86</v>
      </c>
      <c r="C23" s="10" t="n">
        <v>2000</v>
      </c>
      <c r="D23" s="7" t="s">
        <v>77</v>
      </c>
    </row>
    <row r="24" customFormat="false" ht="15" hidden="false" customHeight="false" outlineLevel="0" collapsed="false">
      <c r="B24" s="11" t="s">
        <v>87</v>
      </c>
      <c r="C24" s="16" t="n">
        <f aca="false">($C$16/453.592)*($C$22/$C$23)</f>
        <v>0.0955809449902115</v>
      </c>
      <c r="D24" s="7" t="s">
        <v>88</v>
      </c>
    </row>
    <row r="25" customFormat="false" ht="15" hidden="false" customHeight="false" outlineLevel="0" collapsed="false">
      <c r="B25" s="5" t="s">
        <v>89</v>
      </c>
      <c r="C25" s="17" t="n">
        <v>0.6</v>
      </c>
      <c r="D25" s="7" t="s">
        <v>90</v>
      </c>
      <c r="E25" s="9" t="s">
        <v>91</v>
      </c>
    </row>
    <row r="26" customFormat="false" ht="15" hidden="false" customHeight="false" outlineLevel="0" collapsed="false">
      <c r="B26" s="5" t="s">
        <v>92</v>
      </c>
      <c r="C26" s="18" t="n">
        <v>0.02</v>
      </c>
      <c r="D26" s="7" t="s">
        <v>88</v>
      </c>
    </row>
    <row r="27" customFormat="false" ht="15" hidden="false" customHeight="false" outlineLevel="0" collapsed="false">
      <c r="B27" s="11" t="s">
        <v>93</v>
      </c>
      <c r="C27" s="16" t="n">
        <f aca="false">$C$24*(1+$C$25)+$C$26</f>
        <v>0.172929511984338</v>
      </c>
      <c r="D27" s="7" t="s">
        <v>88</v>
      </c>
      <c r="E27" s="9" t="s">
        <v>94</v>
      </c>
    </row>
    <row r="28" customFormat="false" ht="15" hidden="false" customHeight="false" outlineLevel="0" collapsed="false">
      <c r="B28" s="5" t="s">
        <v>95</v>
      </c>
      <c r="C28" s="19" t="n">
        <v>0</v>
      </c>
      <c r="D28" s="7" t="s">
        <v>88</v>
      </c>
      <c r="E28" s="9" t="s">
        <v>96</v>
      </c>
    </row>
    <row r="29" customFormat="false" ht="15" hidden="false" customHeight="false" outlineLevel="0" collapsed="false">
      <c r="B29" s="5" t="s">
        <v>97</v>
      </c>
      <c r="C29" s="20" t="n">
        <f aca="false">IF($C$28&gt;0,$C$28,$C$27)</f>
        <v>0.172929511984338</v>
      </c>
      <c r="D29" s="7" t="s">
        <v>88</v>
      </c>
    </row>
    <row r="31" customFormat="false" ht="15" hidden="false" customHeight="false" outlineLevel="0" collapsed="false">
      <c r="B31" s="3" t="s">
        <v>98</v>
      </c>
      <c r="C31" s="4"/>
      <c r="D31" s="4"/>
      <c r="E31" s="4"/>
    </row>
    <row r="32" customFormat="false" ht="15" hidden="false" customHeight="false" outlineLevel="0" collapsed="false">
      <c r="B32" s="5" t="s">
        <v>99</v>
      </c>
      <c r="C32" s="10" t="n">
        <v>30</v>
      </c>
      <c r="D32" s="7" t="s">
        <v>100</v>
      </c>
      <c r="E32" s="9" t="s">
        <v>101</v>
      </c>
    </row>
    <row r="33" customFormat="false" ht="22.35" hidden="false" customHeight="false" outlineLevel="0" collapsed="false">
      <c r="B33" s="5" t="s">
        <v>102</v>
      </c>
      <c r="C33" s="17" t="n">
        <v>0.3</v>
      </c>
      <c r="D33" s="7" t="s">
        <v>90</v>
      </c>
      <c r="E33" s="9" t="s">
        <v>103</v>
      </c>
    </row>
    <row r="34" customFormat="false" ht="15" hidden="false" customHeight="false" outlineLevel="0" collapsed="false">
      <c r="B34" s="5" t="s">
        <v>104</v>
      </c>
      <c r="C34" s="8" t="n">
        <v>0.6</v>
      </c>
      <c r="D34" s="7" t="s">
        <v>77</v>
      </c>
      <c r="E34" s="9" t="s">
        <v>105</v>
      </c>
    </row>
    <row r="35" customFormat="false" ht="15" hidden="false" customHeight="false" outlineLevel="0" collapsed="false">
      <c r="B35" s="5" t="s">
        <v>106</v>
      </c>
      <c r="C35" s="10" t="n">
        <v>139</v>
      </c>
      <c r="D35" s="7"/>
      <c r="E35" s="9" t="s">
        <v>107</v>
      </c>
    </row>
    <row r="36" customFormat="false" ht="15" hidden="false" customHeight="false" outlineLevel="0" collapsed="false">
      <c r="B36" s="11" t="s">
        <v>108</v>
      </c>
      <c r="C36" s="12" t="n">
        <f aca="false">$C$12*$C$12*$C$6</f>
        <v>81</v>
      </c>
      <c r="D36" s="7" t="s">
        <v>109</v>
      </c>
    </row>
    <row r="37" customFormat="false" ht="15" hidden="false" customHeight="false" outlineLevel="0" collapsed="false">
      <c r="B37" s="11" t="s">
        <v>110</v>
      </c>
      <c r="C37" s="12" t="n">
        <f aca="false">$C$32*$C$18+$C$34</f>
        <v>6.66555036244026</v>
      </c>
      <c r="D37" s="7" t="s">
        <v>77</v>
      </c>
    </row>
    <row r="38" customFormat="false" ht="15" hidden="false" customHeight="false" outlineLevel="0" collapsed="false">
      <c r="B38" s="11" t="s">
        <v>111</v>
      </c>
      <c r="C38" s="21" t="n">
        <f aca="false">$C$32*$C$36*(1-$C$33)</f>
        <v>1701</v>
      </c>
      <c r="D38" s="7" t="s">
        <v>109</v>
      </c>
    </row>
    <row r="39" customFormat="false" ht="15" hidden="false" customHeight="false" outlineLevel="0" collapsed="false">
      <c r="B39" s="11" t="s">
        <v>112</v>
      </c>
      <c r="C39" s="12" t="n">
        <f aca="false">$C$38/$C$35</f>
        <v>12.2374100719424</v>
      </c>
      <c r="D39" s="7" t="s">
        <v>77</v>
      </c>
    </row>
    <row r="40" customFormat="false" ht="15" hidden="false" customHeight="false" outlineLevel="0" collapsed="false">
      <c r="B40" s="5" t="s">
        <v>113</v>
      </c>
      <c r="C40" s="22" t="n">
        <f aca="false">MAX($C$37,$C$39)</f>
        <v>12.2374100719424</v>
      </c>
      <c r="D40" s="7" t="s">
        <v>77</v>
      </c>
      <c r="E40" s="9" t="s">
        <v>114</v>
      </c>
    </row>
    <row r="42" customFormat="false" ht="15" hidden="false" customHeight="false" outlineLevel="0" collapsed="false">
      <c r="B42" s="3" t="s">
        <v>115</v>
      </c>
      <c r="C42" s="4"/>
      <c r="D42" s="4"/>
      <c r="E42" s="4"/>
    </row>
    <row r="43" customFormat="false" ht="15" hidden="false" customHeight="false" outlineLevel="0" collapsed="false">
      <c r="B43" s="5" t="s">
        <v>116</v>
      </c>
      <c r="C43" s="23" t="s">
        <v>117</v>
      </c>
      <c r="D43" s="7"/>
      <c r="E43" s="9" t="s">
        <v>118</v>
      </c>
    </row>
    <row r="44" customFormat="false" ht="15" hidden="false" customHeight="false" outlineLevel="0" collapsed="false">
      <c r="B44" s="5" t="s">
        <v>35</v>
      </c>
      <c r="C44" s="10" t="n">
        <v>1920</v>
      </c>
      <c r="D44" s="7" t="s">
        <v>100</v>
      </c>
    </row>
    <row r="45" customFormat="false" ht="15" hidden="false" customHeight="false" outlineLevel="0" collapsed="false">
      <c r="B45" s="5" t="s">
        <v>119</v>
      </c>
      <c r="C45" s="10" t="n">
        <v>26</v>
      </c>
      <c r="D45" s="7" t="s">
        <v>120</v>
      </c>
    </row>
    <row r="46" customFormat="false" ht="15" hidden="false" customHeight="false" outlineLevel="0" collapsed="false">
      <c r="B46" s="5" t="s">
        <v>121</v>
      </c>
      <c r="C46" s="15" t="n">
        <v>250</v>
      </c>
      <c r="D46" s="7" t="s">
        <v>122</v>
      </c>
    </row>
    <row r="47" customFormat="false" ht="15" hidden="false" customHeight="false" outlineLevel="0" collapsed="false">
      <c r="B47" s="5" t="s">
        <v>123</v>
      </c>
      <c r="C47" s="15" t="n">
        <v>2800</v>
      </c>
      <c r="D47" s="7" t="s">
        <v>124</v>
      </c>
    </row>
    <row r="48" customFormat="false" ht="15" hidden="false" customHeight="false" outlineLevel="0" collapsed="false">
      <c r="B48" s="5" t="s">
        <v>37</v>
      </c>
      <c r="C48" s="10" t="n">
        <v>56160</v>
      </c>
      <c r="D48" s="7" t="s">
        <v>100</v>
      </c>
      <c r="E48" s="9" t="s">
        <v>125</v>
      </c>
    </row>
    <row r="49" customFormat="false" ht="15" hidden="false" customHeight="false" outlineLevel="0" collapsed="false">
      <c r="B49" s="5" t="s">
        <v>126</v>
      </c>
      <c r="C49" s="15" t="n">
        <v>4000</v>
      </c>
      <c r="D49" s="7" t="s">
        <v>127</v>
      </c>
      <c r="E49" s="9" t="s">
        <v>128</v>
      </c>
    </row>
    <row r="50" customFormat="false" ht="15" hidden="false" customHeight="false" outlineLevel="0" collapsed="false">
      <c r="B50" s="5" t="s">
        <v>129</v>
      </c>
      <c r="C50" s="17" t="n">
        <v>0</v>
      </c>
      <c r="D50" s="7" t="s">
        <v>90</v>
      </c>
      <c r="E50" s="9" t="s">
        <v>130</v>
      </c>
    </row>
    <row r="51" customFormat="false" ht="15" hidden="false" customHeight="false" outlineLevel="0" collapsed="false">
      <c r="B51" s="5" t="s">
        <v>131</v>
      </c>
      <c r="C51" s="20" t="n">
        <f aca="false">IF($C$43="LTL",$C$46/$C$44,IF($C$43="TL",$C$47/($C$45*$C$44),$C$49/$C$48))</f>
        <v>0.0560897435897436</v>
      </c>
      <c r="D51" s="7" t="s">
        <v>88</v>
      </c>
    </row>
    <row r="52" customFormat="false" ht="15" hidden="false" customHeight="false" outlineLevel="0" collapsed="false">
      <c r="B52" s="11" t="s">
        <v>132</v>
      </c>
      <c r="C52" s="16" t="n">
        <f aca="false">$C$29*$C$50</f>
        <v>0</v>
      </c>
      <c r="D52" s="7" t="s">
        <v>88</v>
      </c>
    </row>
    <row r="53" customFormat="false" ht="15" hidden="false" customHeight="false" outlineLevel="0" collapsed="false">
      <c r="B53" s="5" t="s">
        <v>133</v>
      </c>
      <c r="C53" s="20" t="n">
        <f aca="false">$C$29+$C$51+$C$52</f>
        <v>0.229019255574082</v>
      </c>
      <c r="D53" s="7" t="s">
        <v>88</v>
      </c>
    </row>
    <row r="55" customFormat="false" ht="15" hidden="false" customHeight="false" outlineLevel="0" collapsed="false">
      <c r="B55" s="3" t="s">
        <v>134</v>
      </c>
      <c r="C55" s="4"/>
      <c r="D55" s="4"/>
      <c r="E55" s="4"/>
    </row>
    <row r="56" customFormat="false" ht="15" hidden="false" customHeight="false" outlineLevel="0" collapsed="false">
      <c r="B56" s="5" t="s">
        <v>135</v>
      </c>
      <c r="C56" s="24" t="n">
        <v>3.25</v>
      </c>
      <c r="D56" s="7" t="s">
        <v>136</v>
      </c>
    </row>
    <row r="57" customFormat="false" ht="15" hidden="false" customHeight="false" outlineLevel="0" collapsed="false">
      <c r="B57" s="5" t="s">
        <v>137</v>
      </c>
      <c r="C57" s="24" t="n">
        <v>0.35</v>
      </c>
      <c r="D57" s="7" t="s">
        <v>136</v>
      </c>
    </row>
    <row r="58" customFormat="false" ht="15" hidden="false" customHeight="false" outlineLevel="0" collapsed="false">
      <c r="B58" s="5" t="s">
        <v>138</v>
      </c>
      <c r="C58" s="24" t="n">
        <v>22</v>
      </c>
      <c r="D58" s="7" t="s">
        <v>139</v>
      </c>
    </row>
    <row r="59" customFormat="false" ht="15" hidden="false" customHeight="false" outlineLevel="0" collapsed="false">
      <c r="B59" s="5" t="s">
        <v>140</v>
      </c>
      <c r="C59" s="8" t="n">
        <v>1</v>
      </c>
      <c r="D59" s="7" t="s">
        <v>141</v>
      </c>
      <c r="E59" s="9" t="s">
        <v>142</v>
      </c>
    </row>
    <row r="60" customFormat="false" ht="15" hidden="false" customHeight="false" outlineLevel="0" collapsed="false">
      <c r="B60" s="11" t="s">
        <v>143</v>
      </c>
      <c r="C60" s="16" t="n">
        <f aca="false">IFERROR($C$58/$C$44/$C$59,0)</f>
        <v>0.0114583333333333</v>
      </c>
      <c r="D60" s="7" t="s">
        <v>88</v>
      </c>
    </row>
    <row r="62" customFormat="false" ht="15" hidden="false" customHeight="false" outlineLevel="0" collapsed="false">
      <c r="B62" s="3" t="s">
        <v>144</v>
      </c>
      <c r="C62" s="4"/>
      <c r="D62" s="4"/>
      <c r="E62" s="4"/>
    </row>
    <row r="63" customFormat="false" ht="22.35" hidden="false" customHeight="false" outlineLevel="0" collapsed="false">
      <c r="B63" s="5" t="s">
        <v>145</v>
      </c>
      <c r="C63" s="18" t="n">
        <v>0.32</v>
      </c>
      <c r="D63" s="7" t="s">
        <v>146</v>
      </c>
      <c r="E63" s="9" t="s">
        <v>147</v>
      </c>
    </row>
    <row r="64" customFormat="false" ht="15" hidden="false" customHeight="false" outlineLevel="0" collapsed="false">
      <c r="B64" s="5" t="s">
        <v>148</v>
      </c>
      <c r="C64" s="17" t="n">
        <v>0.029</v>
      </c>
      <c r="D64" s="7" t="s">
        <v>90</v>
      </c>
    </row>
    <row r="65" customFormat="false" ht="15" hidden="false" customHeight="false" outlineLevel="0" collapsed="false">
      <c r="B65" s="5" t="s">
        <v>149</v>
      </c>
      <c r="C65" s="24" t="n">
        <v>0.3</v>
      </c>
      <c r="D65" s="7" t="s">
        <v>136</v>
      </c>
    </row>
    <row r="66" customFormat="false" ht="15" hidden="false" customHeight="false" outlineLevel="0" collapsed="false">
      <c r="B66" s="5" t="s">
        <v>150</v>
      </c>
      <c r="C66" s="25" t="n">
        <f aca="false">$C$63*$C$32*$C$8/100</f>
        <v>28.8</v>
      </c>
      <c r="D66" s="7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1" min="9" style="0" width="12"/>
    <col collapsed="false" customWidth="true" hidden="false" outlineLevel="0" max="14" min="12" style="0" width="13"/>
    <col collapsed="false" customWidth="true" hidden="false" outlineLevel="0" max="16" min="15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10"/>
    <col collapsed="false" customWidth="true" hidden="false" outlineLevel="0" max="23" min="22" style="0" width="14"/>
    <col collapsed="false" customWidth="true" hidden="false" outlineLevel="0" max="24" min="24" style="0" width="46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7" t="s">
        <v>153</v>
      </c>
      <c r="P2" s="5" t="s">
        <v>154</v>
      </c>
      <c r="Q2" s="17" t="n">
        <v>0.4</v>
      </c>
      <c r="R2" s="17" t="n">
        <v>0.2</v>
      </c>
      <c r="S2" s="17" t="n">
        <v>0.15</v>
      </c>
      <c r="T2" s="17" t="n">
        <v>0.15</v>
      </c>
      <c r="U2" s="17" t="n">
        <v>0.1</v>
      </c>
      <c r="V2" s="26" t="n">
        <f aca="false">SUM(Q2:U2)</f>
        <v>1</v>
      </c>
    </row>
    <row r="4" customFormat="false" ht="31.5" hidden="false" customHeight="true" outlineLevel="0" collapsed="false">
      <c r="A4" s="27" t="s">
        <v>155</v>
      </c>
      <c r="B4" s="27" t="s">
        <v>156</v>
      </c>
      <c r="C4" s="27" t="s">
        <v>157</v>
      </c>
      <c r="D4" s="27" t="s">
        <v>158</v>
      </c>
      <c r="E4" s="27" t="s">
        <v>159</v>
      </c>
      <c r="F4" s="27" t="s">
        <v>160</v>
      </c>
      <c r="G4" s="27" t="s">
        <v>161</v>
      </c>
      <c r="H4" s="27" t="s">
        <v>162</v>
      </c>
      <c r="I4" s="27" t="s">
        <v>163</v>
      </c>
      <c r="J4" s="27" t="s">
        <v>164</v>
      </c>
      <c r="K4" s="27" t="s">
        <v>165</v>
      </c>
      <c r="L4" s="27" t="s">
        <v>166</v>
      </c>
      <c r="M4" s="27" t="s">
        <v>167</v>
      </c>
      <c r="N4" s="27" t="s">
        <v>168</v>
      </c>
      <c r="O4" s="27" t="s">
        <v>169</v>
      </c>
      <c r="P4" s="27" t="s">
        <v>170</v>
      </c>
      <c r="Q4" s="27" t="s">
        <v>171</v>
      </c>
      <c r="R4" s="27" t="s">
        <v>172</v>
      </c>
      <c r="S4" s="27" t="s">
        <v>173</v>
      </c>
      <c r="T4" s="27" t="s">
        <v>174</v>
      </c>
      <c r="U4" s="27" t="s">
        <v>175</v>
      </c>
      <c r="V4" s="27" t="s">
        <v>176</v>
      </c>
      <c r="W4" s="27" t="s">
        <v>177</v>
      </c>
      <c r="X4" s="27" t="s">
        <v>178</v>
      </c>
    </row>
    <row r="5" customFormat="false" ht="30" hidden="false" customHeight="true" outlineLevel="0" collapsed="false">
      <c r="A5" s="28" t="s">
        <v>179</v>
      </c>
      <c r="B5" s="28" t="n">
        <v>1</v>
      </c>
      <c r="C5" s="28" t="s">
        <v>180</v>
      </c>
      <c r="D5" s="28" t="s">
        <v>181</v>
      </c>
      <c r="E5" s="28" t="s">
        <v>182</v>
      </c>
      <c r="F5" s="28" t="s">
        <v>183</v>
      </c>
      <c r="G5" s="28" t="s">
        <v>184</v>
      </c>
      <c r="H5" s="10"/>
      <c r="I5" s="19"/>
      <c r="J5" s="19"/>
      <c r="K5" s="19"/>
      <c r="L5" s="15"/>
      <c r="M5" s="10"/>
      <c r="N5" s="23"/>
      <c r="O5" s="23"/>
      <c r="P5" s="23"/>
      <c r="Q5" s="23"/>
      <c r="R5" s="23"/>
      <c r="S5" s="23"/>
      <c r="T5" s="23"/>
      <c r="U5" s="23"/>
      <c r="V5" s="22" t="n">
        <f aca="false">IFERROR(SUMPRODUCT(Q5:U5,$Q$2:$U$2),0)</f>
        <v>0</v>
      </c>
      <c r="W5" s="29" t="s">
        <v>185</v>
      </c>
      <c r="X5" s="30" t="s">
        <v>186</v>
      </c>
    </row>
    <row r="6" customFormat="false" ht="30" hidden="false" customHeight="true" outlineLevel="0" collapsed="false">
      <c r="A6" s="28" t="s">
        <v>187</v>
      </c>
      <c r="B6" s="28" t="n">
        <v>1</v>
      </c>
      <c r="C6" s="28" t="s">
        <v>180</v>
      </c>
      <c r="D6" s="28" t="s">
        <v>188</v>
      </c>
      <c r="E6" s="28" t="s">
        <v>189</v>
      </c>
      <c r="F6" s="28" t="s">
        <v>183</v>
      </c>
      <c r="G6" s="28" t="s">
        <v>184</v>
      </c>
      <c r="H6" s="10"/>
      <c r="I6" s="19"/>
      <c r="J6" s="19"/>
      <c r="K6" s="19"/>
      <c r="L6" s="15"/>
      <c r="M6" s="10"/>
      <c r="N6" s="23"/>
      <c r="O6" s="23"/>
      <c r="P6" s="23"/>
      <c r="Q6" s="23"/>
      <c r="R6" s="23"/>
      <c r="S6" s="23"/>
      <c r="T6" s="23"/>
      <c r="U6" s="23"/>
      <c r="V6" s="22" t="n">
        <f aca="false">IFERROR(SUMPRODUCT(Q6:U6,$Q$2:$U$2),0)</f>
        <v>0</v>
      </c>
      <c r="W6" s="29" t="s">
        <v>185</v>
      </c>
      <c r="X6" s="30" t="s">
        <v>190</v>
      </c>
    </row>
    <row r="7" customFormat="false" ht="30" hidden="false" customHeight="true" outlineLevel="0" collapsed="false">
      <c r="A7" s="28" t="s">
        <v>191</v>
      </c>
      <c r="B7" s="28" t="n">
        <v>1</v>
      </c>
      <c r="C7" s="28" t="s">
        <v>180</v>
      </c>
      <c r="D7" s="28" t="s">
        <v>192</v>
      </c>
      <c r="E7" s="28" t="s">
        <v>193</v>
      </c>
      <c r="F7" s="28" t="s">
        <v>194</v>
      </c>
      <c r="G7" s="28" t="s">
        <v>184</v>
      </c>
      <c r="H7" s="10"/>
      <c r="I7" s="19"/>
      <c r="J7" s="19"/>
      <c r="K7" s="19"/>
      <c r="L7" s="15"/>
      <c r="M7" s="10"/>
      <c r="N7" s="23"/>
      <c r="O7" s="23"/>
      <c r="P7" s="23"/>
      <c r="Q7" s="23"/>
      <c r="R7" s="23"/>
      <c r="S7" s="23"/>
      <c r="T7" s="23"/>
      <c r="U7" s="23"/>
      <c r="V7" s="22" t="n">
        <f aca="false">IFERROR(SUMPRODUCT(Q7:U7,$Q$2:$U$2),0)</f>
        <v>0</v>
      </c>
      <c r="W7" s="29" t="s">
        <v>185</v>
      </c>
      <c r="X7" s="30" t="s">
        <v>195</v>
      </c>
    </row>
    <row r="8" customFormat="false" ht="30" hidden="false" customHeight="true" outlineLevel="0" collapsed="false">
      <c r="A8" s="28" t="s">
        <v>196</v>
      </c>
      <c r="B8" s="28" t="n">
        <v>1</v>
      </c>
      <c r="C8" s="28" t="s">
        <v>180</v>
      </c>
      <c r="D8" s="28" t="s">
        <v>197</v>
      </c>
      <c r="E8" s="28" t="s">
        <v>198</v>
      </c>
      <c r="F8" s="28" t="s">
        <v>199</v>
      </c>
      <c r="G8" s="28" t="s">
        <v>184</v>
      </c>
      <c r="H8" s="10"/>
      <c r="I8" s="19"/>
      <c r="J8" s="19"/>
      <c r="K8" s="19"/>
      <c r="L8" s="15"/>
      <c r="M8" s="10"/>
      <c r="N8" s="23"/>
      <c r="O8" s="23"/>
      <c r="P8" s="23"/>
      <c r="Q8" s="23"/>
      <c r="R8" s="23"/>
      <c r="S8" s="23"/>
      <c r="T8" s="23"/>
      <c r="U8" s="23"/>
      <c r="V8" s="22" t="n">
        <f aca="false">IFERROR(SUMPRODUCT(Q8:U8,$Q$2:$U$2),0)</f>
        <v>0</v>
      </c>
      <c r="W8" s="29" t="s">
        <v>185</v>
      </c>
      <c r="X8" s="30" t="s">
        <v>200</v>
      </c>
    </row>
    <row r="9" customFormat="false" ht="30" hidden="false" customHeight="true" outlineLevel="0" collapsed="false">
      <c r="A9" s="28" t="s">
        <v>201</v>
      </c>
      <c r="B9" s="28" t="n">
        <v>1</v>
      </c>
      <c r="C9" s="28" t="s">
        <v>180</v>
      </c>
      <c r="D9" s="28" t="s">
        <v>202</v>
      </c>
      <c r="E9" s="28" t="s">
        <v>203</v>
      </c>
      <c r="F9" s="28" t="s">
        <v>204</v>
      </c>
      <c r="G9" s="28" t="s">
        <v>184</v>
      </c>
      <c r="H9" s="10"/>
      <c r="I9" s="19"/>
      <c r="J9" s="19"/>
      <c r="K9" s="19"/>
      <c r="L9" s="15"/>
      <c r="M9" s="10"/>
      <c r="N9" s="23"/>
      <c r="O9" s="23"/>
      <c r="P9" s="23"/>
      <c r="Q9" s="23"/>
      <c r="R9" s="23"/>
      <c r="S9" s="23"/>
      <c r="T9" s="23"/>
      <c r="U9" s="23"/>
      <c r="V9" s="22" t="n">
        <f aca="false">IFERROR(SUMPRODUCT(Q9:U9,$Q$2:$U$2),0)</f>
        <v>0</v>
      </c>
      <c r="W9" s="29" t="s">
        <v>185</v>
      </c>
      <c r="X9" s="30" t="s">
        <v>205</v>
      </c>
    </row>
    <row r="10" customFormat="false" ht="30" hidden="false" customHeight="true" outlineLevel="0" collapsed="false">
      <c r="A10" s="28" t="s">
        <v>206</v>
      </c>
      <c r="B10" s="28" t="n">
        <v>1</v>
      </c>
      <c r="C10" s="28" t="s">
        <v>180</v>
      </c>
      <c r="D10" s="28" t="s">
        <v>207</v>
      </c>
      <c r="E10" s="28" t="s">
        <v>208</v>
      </c>
      <c r="F10" s="28" t="s">
        <v>209</v>
      </c>
      <c r="G10" s="28" t="s">
        <v>184</v>
      </c>
      <c r="H10" s="10"/>
      <c r="I10" s="19"/>
      <c r="J10" s="19"/>
      <c r="K10" s="19"/>
      <c r="L10" s="15"/>
      <c r="M10" s="10"/>
      <c r="N10" s="23"/>
      <c r="O10" s="23"/>
      <c r="P10" s="23"/>
      <c r="Q10" s="23"/>
      <c r="R10" s="23"/>
      <c r="S10" s="23"/>
      <c r="T10" s="23"/>
      <c r="U10" s="23"/>
      <c r="V10" s="22" t="n">
        <f aca="false">IFERROR(SUMPRODUCT(Q10:U10,$Q$2:$U$2),0)</f>
        <v>0</v>
      </c>
      <c r="W10" s="29" t="s">
        <v>185</v>
      </c>
      <c r="X10" s="30" t="s">
        <v>210</v>
      </c>
    </row>
    <row r="11" customFormat="false" ht="30" hidden="false" customHeight="true" outlineLevel="0" collapsed="false">
      <c r="A11" s="28" t="s">
        <v>211</v>
      </c>
      <c r="B11" s="28" t="n">
        <v>1</v>
      </c>
      <c r="C11" s="28" t="s">
        <v>180</v>
      </c>
      <c r="D11" s="28" t="s">
        <v>212</v>
      </c>
      <c r="E11" s="28" t="s">
        <v>213</v>
      </c>
      <c r="F11" s="28" t="s">
        <v>204</v>
      </c>
      <c r="G11" s="28" t="s">
        <v>184</v>
      </c>
      <c r="H11" s="10"/>
      <c r="I11" s="19"/>
      <c r="J11" s="19"/>
      <c r="K11" s="19"/>
      <c r="L11" s="15"/>
      <c r="M11" s="10"/>
      <c r="N11" s="23"/>
      <c r="O11" s="23"/>
      <c r="P11" s="23"/>
      <c r="Q11" s="23"/>
      <c r="R11" s="23"/>
      <c r="S11" s="23"/>
      <c r="T11" s="23"/>
      <c r="U11" s="23"/>
      <c r="V11" s="22" t="n">
        <f aca="false">IFERROR(SUMPRODUCT(Q11:U11,$Q$2:$U$2),0)</f>
        <v>0</v>
      </c>
      <c r="W11" s="29" t="s">
        <v>185</v>
      </c>
      <c r="X11" s="30" t="s">
        <v>214</v>
      </c>
    </row>
    <row r="12" customFormat="false" ht="30" hidden="false" customHeight="true" outlineLevel="0" collapsed="false">
      <c r="A12" s="28" t="s">
        <v>215</v>
      </c>
      <c r="B12" s="28" t="n">
        <v>2</v>
      </c>
      <c r="C12" s="28" t="s">
        <v>180</v>
      </c>
      <c r="D12" s="28" t="s">
        <v>180</v>
      </c>
      <c r="E12" s="28" t="s">
        <v>216</v>
      </c>
      <c r="F12" s="28" t="s">
        <v>217</v>
      </c>
      <c r="G12" s="28" t="s">
        <v>184</v>
      </c>
      <c r="H12" s="10"/>
      <c r="I12" s="19"/>
      <c r="J12" s="19"/>
      <c r="K12" s="19"/>
      <c r="L12" s="15"/>
      <c r="M12" s="10"/>
      <c r="N12" s="23"/>
      <c r="O12" s="23"/>
      <c r="P12" s="23"/>
      <c r="Q12" s="23"/>
      <c r="R12" s="23"/>
      <c r="S12" s="23"/>
      <c r="T12" s="23"/>
      <c r="U12" s="23"/>
      <c r="V12" s="22" t="n">
        <f aca="false">IFERROR(SUMPRODUCT(Q12:U12,$Q$2:$U$2),0)</f>
        <v>0</v>
      </c>
      <c r="W12" s="29" t="s">
        <v>185</v>
      </c>
      <c r="X12" s="30" t="s">
        <v>218</v>
      </c>
    </row>
    <row r="13" customFormat="false" ht="30" hidden="false" customHeight="true" outlineLevel="0" collapsed="false">
      <c r="A13" s="28" t="s">
        <v>219</v>
      </c>
      <c r="B13" s="28" t="n">
        <v>2</v>
      </c>
      <c r="C13" s="28" t="s">
        <v>180</v>
      </c>
      <c r="D13" s="28" t="s">
        <v>220</v>
      </c>
      <c r="E13" s="28" t="s">
        <v>221</v>
      </c>
      <c r="F13" s="28" t="s">
        <v>204</v>
      </c>
      <c r="G13" s="28" t="s">
        <v>222</v>
      </c>
      <c r="H13" s="10"/>
      <c r="I13" s="19"/>
      <c r="J13" s="19"/>
      <c r="K13" s="19"/>
      <c r="L13" s="15"/>
      <c r="M13" s="10"/>
      <c r="N13" s="23"/>
      <c r="O13" s="23"/>
      <c r="P13" s="23"/>
      <c r="Q13" s="23"/>
      <c r="R13" s="23"/>
      <c r="S13" s="23"/>
      <c r="T13" s="23"/>
      <c r="U13" s="23"/>
      <c r="V13" s="22" t="n">
        <f aca="false">IFERROR(SUMPRODUCT(Q13:U13,$Q$2:$U$2),0)</f>
        <v>0</v>
      </c>
      <c r="W13" s="29" t="s">
        <v>185</v>
      </c>
      <c r="X13" s="30" t="s">
        <v>223</v>
      </c>
    </row>
    <row r="14" customFormat="false" ht="30" hidden="false" customHeight="true" outlineLevel="0" collapsed="false">
      <c r="A14" s="28" t="s">
        <v>224</v>
      </c>
      <c r="B14" s="28" t="n">
        <v>2</v>
      </c>
      <c r="C14" s="28" t="s">
        <v>180</v>
      </c>
      <c r="D14" s="28" t="s">
        <v>225</v>
      </c>
      <c r="E14" s="28" t="s">
        <v>226</v>
      </c>
      <c r="F14" s="28" t="s">
        <v>227</v>
      </c>
      <c r="G14" s="28" t="s">
        <v>222</v>
      </c>
      <c r="H14" s="10"/>
      <c r="I14" s="19"/>
      <c r="J14" s="19"/>
      <c r="K14" s="19"/>
      <c r="L14" s="15"/>
      <c r="M14" s="10"/>
      <c r="N14" s="23"/>
      <c r="O14" s="23"/>
      <c r="P14" s="23"/>
      <c r="Q14" s="23"/>
      <c r="R14" s="23"/>
      <c r="S14" s="23"/>
      <c r="T14" s="23"/>
      <c r="U14" s="23"/>
      <c r="V14" s="22" t="n">
        <f aca="false">IFERROR(SUMPRODUCT(Q14:U14,$Q$2:$U$2),0)</f>
        <v>0</v>
      </c>
      <c r="W14" s="29" t="s">
        <v>185</v>
      </c>
      <c r="X14" s="30" t="s">
        <v>228</v>
      </c>
    </row>
    <row r="15" customFormat="false" ht="30" hidden="false" customHeight="true" outlineLevel="0" collapsed="false">
      <c r="A15" s="28" t="s">
        <v>229</v>
      </c>
      <c r="B15" s="28" t="n">
        <v>3</v>
      </c>
      <c r="C15" s="28" t="s">
        <v>230</v>
      </c>
      <c r="D15" s="28" t="s">
        <v>230</v>
      </c>
      <c r="E15" s="28" t="s">
        <v>231</v>
      </c>
      <c r="F15" s="28" t="s">
        <v>232</v>
      </c>
      <c r="G15" s="28" t="s">
        <v>233</v>
      </c>
      <c r="H15" s="10"/>
      <c r="I15" s="19"/>
      <c r="J15" s="19"/>
      <c r="K15" s="19"/>
      <c r="L15" s="15"/>
      <c r="M15" s="10"/>
      <c r="N15" s="23"/>
      <c r="O15" s="23"/>
      <c r="P15" s="23"/>
      <c r="Q15" s="23"/>
      <c r="R15" s="23"/>
      <c r="S15" s="23"/>
      <c r="T15" s="23"/>
      <c r="U15" s="23"/>
      <c r="V15" s="22" t="n">
        <f aca="false">IFERROR(SUMPRODUCT(Q15:U15,$Q$2:$U$2),0)</f>
        <v>0</v>
      </c>
      <c r="W15" s="29" t="s">
        <v>185</v>
      </c>
      <c r="X15" s="30" t="s">
        <v>234</v>
      </c>
    </row>
    <row r="16" customFormat="false" ht="30" hidden="false" customHeight="true" outlineLevel="0" collapsed="false">
      <c r="A16" s="28" t="s">
        <v>235</v>
      </c>
      <c r="B16" s="28" t="n">
        <v>3</v>
      </c>
      <c r="C16" s="28" t="s">
        <v>180</v>
      </c>
      <c r="D16" s="28" t="s">
        <v>236</v>
      </c>
      <c r="E16" s="28" t="s">
        <v>237</v>
      </c>
      <c r="F16" s="28" t="s">
        <v>238</v>
      </c>
      <c r="G16" s="28" t="s">
        <v>239</v>
      </c>
      <c r="H16" s="10"/>
      <c r="I16" s="19"/>
      <c r="J16" s="19"/>
      <c r="K16" s="19"/>
      <c r="L16" s="15"/>
      <c r="M16" s="10"/>
      <c r="N16" s="23"/>
      <c r="O16" s="23"/>
      <c r="P16" s="23"/>
      <c r="Q16" s="23"/>
      <c r="R16" s="23"/>
      <c r="S16" s="23"/>
      <c r="T16" s="23"/>
      <c r="U16" s="23"/>
      <c r="V16" s="22" t="n">
        <f aca="false">IFERROR(SUMPRODUCT(Q16:U16,$Q$2:$U$2),0)</f>
        <v>0</v>
      </c>
      <c r="W16" s="29" t="s">
        <v>185</v>
      </c>
      <c r="X16" s="30" t="s">
        <v>240</v>
      </c>
    </row>
    <row r="18" customFormat="false" ht="15" hidden="false" customHeight="false" outlineLevel="0" collapsed="false">
      <c r="A18" s="5" t="s">
        <v>241</v>
      </c>
    </row>
    <row r="19" customFormat="false" ht="15" hidden="false" customHeight="false" outlineLevel="0" collapsed="false">
      <c r="A19" s="7" t="s">
        <v>242</v>
      </c>
    </row>
    <row r="20" customFormat="false" ht="15" hidden="false" customHeight="false" outlineLevel="0" collapsed="false">
      <c r="A20" s="7" t="s">
        <v>243</v>
      </c>
    </row>
    <row r="21" customFormat="false" ht="15" hidden="false" customHeight="false" outlineLevel="0" collapsed="false">
      <c r="A21" s="7" t="s">
        <v>244</v>
      </c>
    </row>
    <row r="22" customFormat="false" ht="15" hidden="false" customHeight="false" outlineLevel="0" collapsed="false">
      <c r="A22" s="7" t="s">
        <v>245</v>
      </c>
    </row>
    <row r="23" customFormat="false" ht="15" hidden="false" customHeight="false" outlineLevel="0" collapsed="false">
      <c r="A23" s="7" t="s">
        <v>246</v>
      </c>
    </row>
    <row r="25" customFormat="false" ht="15" hidden="false" customHeight="false" outlineLevel="0" collapsed="false">
      <c r="A25" s="5" t="s">
        <v>247</v>
      </c>
    </row>
    <row r="26" customFormat="false" ht="15" hidden="false" customHeight="false" outlineLevel="0" collapsed="false">
      <c r="A26" s="7" t="s">
        <v>248</v>
      </c>
    </row>
    <row r="27" customFormat="false" ht="15" hidden="false" customHeight="false" outlineLevel="0" collapsed="false">
      <c r="A27" s="7" t="s">
        <v>249</v>
      </c>
    </row>
    <row r="28" customFormat="false" ht="15" hidden="false" customHeight="false" outlineLevel="0" collapsed="false">
      <c r="A28" s="7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1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31" t="s">
        <v>252</v>
      </c>
    </row>
    <row r="4" customFormat="false" ht="15" hidden="false" customHeight="false" outlineLevel="0" collapsed="false">
      <c r="A4" s="32" t="s">
        <v>253</v>
      </c>
      <c r="B4" s="33" t="n">
        <v>2</v>
      </c>
      <c r="C4" s="33" t="n">
        <v>3</v>
      </c>
      <c r="D4" s="33" t="n">
        <v>4</v>
      </c>
      <c r="E4" s="33" t="n">
        <v>5</v>
      </c>
      <c r="F4" s="33" t="n">
        <v>6</v>
      </c>
      <c r="G4" s="33" t="n">
        <v>7</v>
      </c>
      <c r="H4" s="33" t="n">
        <v>8</v>
      </c>
    </row>
    <row r="5" customFormat="false" ht="15" hidden="false" customHeight="false" outlineLevel="0" collapsed="false">
      <c r="A5" s="34" t="n">
        <v>1</v>
      </c>
      <c r="B5" s="24" t="n">
        <v>8.2</v>
      </c>
      <c r="C5" s="24" t="n">
        <v>8.55</v>
      </c>
      <c r="D5" s="24" t="n">
        <v>9.05</v>
      </c>
      <c r="E5" s="24" t="n">
        <v>9.6</v>
      </c>
      <c r="F5" s="24" t="n">
        <v>10.2</v>
      </c>
      <c r="G5" s="24" t="n">
        <v>10.85</v>
      </c>
      <c r="H5" s="24" t="n">
        <v>11.5</v>
      </c>
    </row>
    <row r="6" customFormat="false" ht="15" hidden="false" customHeight="false" outlineLevel="0" collapsed="false">
      <c r="A6" s="34" t="n">
        <v>3</v>
      </c>
      <c r="B6" s="24" t="n">
        <v>8.55</v>
      </c>
      <c r="C6" s="24" t="n">
        <v>8.95</v>
      </c>
      <c r="D6" s="24" t="n">
        <v>9.5</v>
      </c>
      <c r="E6" s="24" t="n">
        <v>10.1</v>
      </c>
      <c r="F6" s="24" t="n">
        <v>10.75</v>
      </c>
      <c r="G6" s="24" t="n">
        <v>11.45</v>
      </c>
      <c r="H6" s="24" t="n">
        <v>12.2</v>
      </c>
    </row>
    <row r="7" customFormat="false" ht="15" hidden="false" customHeight="false" outlineLevel="0" collapsed="false">
      <c r="A7" s="34" t="n">
        <v>5</v>
      </c>
      <c r="B7" s="24" t="n">
        <v>8.9</v>
      </c>
      <c r="C7" s="24" t="n">
        <v>9.3</v>
      </c>
      <c r="D7" s="24" t="n">
        <v>9.9</v>
      </c>
      <c r="E7" s="24" t="n">
        <v>10.6</v>
      </c>
      <c r="F7" s="24" t="n">
        <v>11.3</v>
      </c>
      <c r="G7" s="24" t="n">
        <v>12.1</v>
      </c>
      <c r="H7" s="24" t="n">
        <v>12.9</v>
      </c>
    </row>
    <row r="8" customFormat="false" ht="15" hidden="false" customHeight="false" outlineLevel="0" collapsed="false">
      <c r="A8" s="34" t="n">
        <v>10</v>
      </c>
      <c r="B8" s="24" t="n">
        <v>9.8</v>
      </c>
      <c r="C8" s="24" t="n">
        <v>10.4</v>
      </c>
      <c r="D8" s="24" t="n">
        <v>11.3</v>
      </c>
      <c r="E8" s="24" t="n">
        <v>12.3</v>
      </c>
      <c r="F8" s="24" t="n">
        <v>13.3</v>
      </c>
      <c r="G8" s="24" t="n">
        <v>14.4</v>
      </c>
      <c r="H8" s="24" t="n">
        <v>15.5</v>
      </c>
    </row>
    <row r="9" customFormat="false" ht="15" hidden="false" customHeight="false" outlineLevel="0" collapsed="false">
      <c r="A9" s="34" t="n">
        <v>15</v>
      </c>
      <c r="B9" s="24" t="n">
        <v>10.9</v>
      </c>
      <c r="C9" s="24" t="n">
        <v>11.7</v>
      </c>
      <c r="D9" s="24" t="n">
        <v>12.9</v>
      </c>
      <c r="E9" s="24" t="n">
        <v>14.2</v>
      </c>
      <c r="F9" s="24" t="n">
        <v>15.6</v>
      </c>
      <c r="G9" s="24" t="n">
        <v>17</v>
      </c>
      <c r="H9" s="24" t="n">
        <v>18.5</v>
      </c>
    </row>
    <row r="10" customFormat="false" ht="15" hidden="false" customHeight="false" outlineLevel="0" collapsed="false">
      <c r="A10" s="34" t="n">
        <v>20</v>
      </c>
      <c r="B10" s="24" t="n">
        <v>12.1</v>
      </c>
      <c r="C10" s="24" t="n">
        <v>13.1</v>
      </c>
      <c r="D10" s="24" t="n">
        <v>14.6</v>
      </c>
      <c r="E10" s="24" t="n">
        <v>16.3</v>
      </c>
      <c r="F10" s="24" t="n">
        <v>18</v>
      </c>
      <c r="G10" s="24" t="n">
        <v>19.8</v>
      </c>
      <c r="H10" s="24" t="n">
        <v>21.7</v>
      </c>
    </row>
    <row r="11" customFormat="false" ht="15" hidden="false" customHeight="false" outlineLevel="0" collapsed="false">
      <c r="A11" s="34" t="n">
        <v>25</v>
      </c>
      <c r="B11" s="24" t="n">
        <v>13.4</v>
      </c>
      <c r="C11" s="24" t="n">
        <v>14.6</v>
      </c>
      <c r="D11" s="24" t="n">
        <v>16.4</v>
      </c>
      <c r="E11" s="24" t="n">
        <v>18.4</v>
      </c>
      <c r="F11" s="24" t="n">
        <v>20.5</v>
      </c>
      <c r="G11" s="24" t="n">
        <v>22.7</v>
      </c>
      <c r="H11" s="24" t="n">
        <v>24.9</v>
      </c>
    </row>
    <row r="12" customFormat="false" ht="15" hidden="false" customHeight="false" outlineLevel="0" collapsed="false">
      <c r="A12" s="34" t="n">
        <v>30</v>
      </c>
      <c r="B12" s="24" t="n">
        <v>14.6</v>
      </c>
      <c r="C12" s="24" t="n">
        <v>16</v>
      </c>
      <c r="D12" s="24" t="n">
        <v>18.1</v>
      </c>
      <c r="E12" s="24" t="n">
        <v>20.4</v>
      </c>
      <c r="F12" s="24" t="n">
        <v>22.8</v>
      </c>
      <c r="G12" s="24" t="n">
        <v>25.3</v>
      </c>
      <c r="H12" s="24" t="n">
        <v>27.9</v>
      </c>
    </row>
    <row r="13" customFormat="false" ht="15" hidden="false" customHeight="false" outlineLevel="0" collapsed="false">
      <c r="A13" s="34" t="n">
        <v>40</v>
      </c>
      <c r="B13" s="24" t="n">
        <v>17.2</v>
      </c>
      <c r="C13" s="24" t="n">
        <v>19.1</v>
      </c>
      <c r="D13" s="24" t="n">
        <v>21.8</v>
      </c>
      <c r="E13" s="24" t="n">
        <v>24.8</v>
      </c>
      <c r="F13" s="24" t="n">
        <v>27.9</v>
      </c>
      <c r="G13" s="24" t="n">
        <v>31.2</v>
      </c>
      <c r="H13" s="24" t="n">
        <v>34.6</v>
      </c>
    </row>
    <row r="15" customFormat="false" ht="15" hidden="false" customHeight="false" outlineLevel="0" collapsed="false">
      <c r="A15" s="7" t="s">
        <v>254</v>
      </c>
    </row>
    <row r="16" customFormat="false" ht="15" hidden="false" customHeight="false" outlineLevel="0" collapsed="false">
      <c r="A16" s="7" t="s">
        <v>255</v>
      </c>
    </row>
    <row r="17" customFormat="false" ht="15" hidden="false" customHeight="false" outlineLevel="0" collapsed="false">
      <c r="A17" s="7" t="s">
        <v>256</v>
      </c>
    </row>
    <row r="18" customFormat="false" ht="15" hidden="false" customHeight="false" outlineLevel="0" collapsed="false">
      <c r="A18" s="7" t="s">
        <v>257</v>
      </c>
    </row>
    <row r="19" customFormat="false" ht="15" hidden="false" customHeight="false" outlineLevel="0" collapsed="false">
      <c r="A19" s="7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60"/>
  </cols>
  <sheetData>
    <row r="2" customFormat="false" ht="17.35" hidden="false" customHeight="false" outlineLevel="0" collapsed="false">
      <c r="B2" s="1" t="s">
        <v>259</v>
      </c>
    </row>
    <row r="3" customFormat="false" ht="15" hidden="false" customHeight="false" outlineLevel="0" collapsed="false">
      <c r="B3" s="7" t="s">
        <v>260</v>
      </c>
    </row>
    <row r="5" customFormat="false" ht="15" hidden="false" customHeight="false" outlineLevel="0" collapsed="false">
      <c r="B5" s="3" t="s">
        <v>261</v>
      </c>
      <c r="C5" s="4"/>
      <c r="D5" s="4"/>
      <c r="E5" s="4"/>
    </row>
    <row r="6" customFormat="false" ht="15" hidden="false" customHeight="false" outlineLevel="0" collapsed="false">
      <c r="B6" s="5" t="s">
        <v>262</v>
      </c>
      <c r="C6" s="10" t="n">
        <v>30</v>
      </c>
      <c r="D6" s="7" t="s">
        <v>100</v>
      </c>
      <c r="E6" s="9" t="s">
        <v>263</v>
      </c>
    </row>
    <row r="7" customFormat="false" ht="15" hidden="false" customHeight="false" outlineLevel="0" collapsed="false">
      <c r="B7" s="5" t="s">
        <v>264</v>
      </c>
      <c r="C7" s="10" t="n">
        <v>5</v>
      </c>
      <c r="D7" s="7" t="s">
        <v>265</v>
      </c>
      <c r="E7" s="9" t="s">
        <v>266</v>
      </c>
    </row>
    <row r="9" customFormat="false" ht="15" hidden="false" customHeight="false" outlineLevel="0" collapsed="false">
      <c r="B9" s="3" t="s">
        <v>267</v>
      </c>
      <c r="C9" s="4"/>
      <c r="D9" s="4"/>
      <c r="E9" s="4"/>
    </row>
    <row r="10" customFormat="false" ht="15" hidden="false" customHeight="false" outlineLevel="0" collapsed="false">
      <c r="B10" s="11" t="s">
        <v>268</v>
      </c>
      <c r="C10" s="35" t="n">
        <f aca="false">Assumptions!$C$29</f>
        <v>0.172929511984338</v>
      </c>
      <c r="D10" s="7" t="s">
        <v>88</v>
      </c>
    </row>
    <row r="11" customFormat="false" ht="15" hidden="false" customHeight="false" outlineLevel="0" collapsed="false">
      <c r="B11" s="11" t="s">
        <v>131</v>
      </c>
      <c r="C11" s="35" t="n">
        <f aca="false">Assumptions!$C$51</f>
        <v>0.0560897435897436</v>
      </c>
      <c r="D11" s="7" t="s">
        <v>88</v>
      </c>
    </row>
    <row r="12" customFormat="false" ht="15" hidden="false" customHeight="false" outlineLevel="0" collapsed="false">
      <c r="B12" s="11" t="s">
        <v>132</v>
      </c>
      <c r="C12" s="35" t="n">
        <f aca="false">Assumptions!$C$52</f>
        <v>0</v>
      </c>
      <c r="D12" s="7" t="s">
        <v>88</v>
      </c>
    </row>
    <row r="13" customFormat="false" ht="15" hidden="false" customHeight="false" outlineLevel="0" collapsed="false">
      <c r="B13" s="11" t="s">
        <v>269</v>
      </c>
      <c r="C13" s="35" t="n">
        <f aca="false">Assumptions!$C$60</f>
        <v>0.0114583333333333</v>
      </c>
      <c r="D13" s="7" t="s">
        <v>88</v>
      </c>
    </row>
    <row r="14" customFormat="false" ht="15" hidden="false" customHeight="false" outlineLevel="0" collapsed="false">
      <c r="B14" s="5" t="s">
        <v>270</v>
      </c>
      <c r="C14" s="20" t="n">
        <f aca="false">$C$10+$C$11+$C$12+$C$13</f>
        <v>0.240477588907415</v>
      </c>
      <c r="D14" s="7" t="s">
        <v>88</v>
      </c>
    </row>
    <row r="16" customFormat="false" ht="15" hidden="false" customHeight="false" outlineLevel="0" collapsed="false">
      <c r="B16" s="3" t="s">
        <v>271</v>
      </c>
      <c r="C16" s="4"/>
      <c r="D16" s="4"/>
      <c r="E16" s="4"/>
    </row>
    <row r="17" customFormat="false" ht="15" hidden="false" customHeight="false" outlineLevel="0" collapsed="false">
      <c r="B17" s="11" t="s">
        <v>110</v>
      </c>
      <c r="C17" s="12" t="n">
        <f aca="false">$C$6*Assumptions!$C$18+Assumptions!$C$34</f>
        <v>6.66555036244026</v>
      </c>
      <c r="D17" s="7" t="s">
        <v>77</v>
      </c>
    </row>
    <row r="18" customFormat="false" ht="15" hidden="false" customHeight="false" outlineLevel="0" collapsed="false">
      <c r="B18" s="11" t="s">
        <v>111</v>
      </c>
      <c r="C18" s="21" t="n">
        <f aca="false">$C$6*Assumptions!$C$36*(1-Assumptions!$C$33)</f>
        <v>1701</v>
      </c>
      <c r="D18" s="7" t="s">
        <v>109</v>
      </c>
    </row>
    <row r="19" customFormat="false" ht="15" hidden="false" customHeight="false" outlineLevel="0" collapsed="false">
      <c r="B19" s="11" t="s">
        <v>112</v>
      </c>
      <c r="C19" s="12" t="n">
        <f aca="false">$C$18/Assumptions!$C$35</f>
        <v>12.2374100719424</v>
      </c>
      <c r="D19" s="7" t="s">
        <v>77</v>
      </c>
    </row>
    <row r="20" customFormat="false" ht="15" hidden="false" customHeight="false" outlineLevel="0" collapsed="false">
      <c r="B20" s="5" t="s">
        <v>272</v>
      </c>
      <c r="C20" s="22" t="n">
        <f aca="false">MAX($C$17,$C$19)</f>
        <v>12.2374100719424</v>
      </c>
      <c r="D20" s="7" t="s">
        <v>77</v>
      </c>
      <c r="E20" s="9" t="s">
        <v>273</v>
      </c>
    </row>
    <row r="21" customFormat="false" ht="15" hidden="false" customHeight="false" outlineLevel="0" collapsed="false">
      <c r="B21" s="11" t="s">
        <v>274</v>
      </c>
      <c r="C21" s="36" t="n">
        <f aca="false">IFERROR($C$20/$C$17-1,0)</f>
        <v>0.835918927400068</v>
      </c>
      <c r="D21" s="7" t="s">
        <v>90</v>
      </c>
      <c r="E21" s="9" t="s">
        <v>275</v>
      </c>
    </row>
    <row r="23" customFormat="false" ht="15" hidden="false" customHeight="false" outlineLevel="0" collapsed="false">
      <c r="B23" s="3" t="s">
        <v>276</v>
      </c>
      <c r="C23" s="4"/>
      <c r="D23" s="4"/>
      <c r="E23" s="4"/>
    </row>
    <row r="24" customFormat="false" ht="15" hidden="false" customHeight="false" outlineLevel="0" collapsed="false">
      <c r="B24" s="11" t="s">
        <v>277</v>
      </c>
      <c r="C24" s="37" t="n">
        <f aca="false">$C$6*$C$10</f>
        <v>5.18788535953015</v>
      </c>
      <c r="D24" s="7" t="s">
        <v>278</v>
      </c>
    </row>
    <row r="25" customFormat="false" ht="15" hidden="false" customHeight="false" outlineLevel="0" collapsed="false">
      <c r="B25" s="11" t="s">
        <v>279</v>
      </c>
      <c r="C25" s="37" t="n">
        <f aca="false">$C$6*$C$11</f>
        <v>1.68269230769231</v>
      </c>
      <c r="D25" s="7" t="s">
        <v>278</v>
      </c>
    </row>
    <row r="26" customFormat="false" ht="15" hidden="false" customHeight="false" outlineLevel="0" collapsed="false">
      <c r="B26" s="11" t="s">
        <v>280</v>
      </c>
      <c r="C26" s="37" t="n">
        <f aca="false">$C$6*$C$12</f>
        <v>0</v>
      </c>
      <c r="D26" s="7" t="s">
        <v>278</v>
      </c>
    </row>
    <row r="27" customFormat="false" ht="15" hidden="false" customHeight="false" outlineLevel="0" collapsed="false">
      <c r="B27" s="11" t="s">
        <v>281</v>
      </c>
      <c r="C27" s="37" t="n">
        <f aca="false">$C$6*$C$13</f>
        <v>0.34375</v>
      </c>
      <c r="D27" s="7" t="s">
        <v>278</v>
      </c>
    </row>
    <row r="28" customFormat="false" ht="15" hidden="false" customHeight="false" outlineLevel="0" collapsed="false">
      <c r="B28" s="11" t="s">
        <v>282</v>
      </c>
      <c r="C28" s="38" t="n">
        <f aca="false">Assumptions!$C$56</f>
        <v>3.25</v>
      </c>
      <c r="D28" s="7" t="s">
        <v>278</v>
      </c>
    </row>
    <row r="29" customFormat="false" ht="15" hidden="false" customHeight="false" outlineLevel="0" collapsed="false">
      <c r="B29" s="11" t="s">
        <v>283</v>
      </c>
      <c r="C29" s="38" t="n">
        <f aca="false">Assumptions!$C$57</f>
        <v>0.35</v>
      </c>
      <c r="D29" s="7" t="s">
        <v>278</v>
      </c>
    </row>
    <row r="30" customFormat="false" ht="15" hidden="false" customHeight="false" outlineLevel="0" collapsed="false">
      <c r="B30" s="11" t="s">
        <v>284</v>
      </c>
      <c r="C30" s="37" t="n">
        <f aca="false">IFERROR(INDEX('Freight Rates'!$B$5:$H$13,MATCH($C$20,'Freight Rates'!$A$5:$A$13,1),MATCH($C$7,'Freight Rates'!$B$4:$H$4,0)),0)</f>
        <v>12.3</v>
      </c>
      <c r="D30" s="7" t="s">
        <v>278</v>
      </c>
      <c r="E30" s="9" t="s">
        <v>285</v>
      </c>
    </row>
    <row r="31" customFormat="false" ht="15" hidden="false" customHeight="false" outlineLevel="0" collapsed="false">
      <c r="B31" s="5" t="s">
        <v>286</v>
      </c>
      <c r="C31" s="25" t="n">
        <f aca="false">SUM($C$24:$C$30)</f>
        <v>23.1143276672225</v>
      </c>
      <c r="D31" s="7" t="s">
        <v>278</v>
      </c>
    </row>
    <row r="33" customFormat="false" ht="15" hidden="false" customHeight="false" outlineLevel="0" collapsed="false">
      <c r="B33" s="3" t="s">
        <v>287</v>
      </c>
      <c r="C33" s="4"/>
      <c r="D33" s="4"/>
      <c r="E33" s="4"/>
    </row>
    <row r="34" customFormat="false" ht="15" hidden="false" customHeight="false" outlineLevel="0" collapsed="false">
      <c r="B34" s="11" t="s">
        <v>288</v>
      </c>
      <c r="C34" s="21" t="n">
        <f aca="false">$C$6*Assumptions!$C$8</f>
        <v>9000</v>
      </c>
      <c r="D34" s="7" t="s">
        <v>60</v>
      </c>
    </row>
    <row r="35" customFormat="false" ht="15" hidden="false" customHeight="false" outlineLevel="0" collapsed="false">
      <c r="B35" s="11" t="s">
        <v>289</v>
      </c>
      <c r="C35" s="12" t="n">
        <f aca="false">$C$6*Assumptions!$C$19</f>
        <v>1000</v>
      </c>
      <c r="D35" s="7" t="s">
        <v>80</v>
      </c>
      <c r="E35" s="9" t="s">
        <v>290</v>
      </c>
    </row>
    <row r="36" customFormat="false" ht="15" hidden="false" customHeight="false" outlineLevel="0" collapsed="false">
      <c r="B36" s="5" t="s">
        <v>291</v>
      </c>
      <c r="C36" s="39" t="n">
        <f aca="false">IFERROR($C$31/($C$34/100),0)</f>
        <v>0.256825862969138</v>
      </c>
      <c r="D36" s="7" t="s">
        <v>146</v>
      </c>
      <c r="E36" s="9" t="s">
        <v>292</v>
      </c>
    </row>
    <row r="38" customFormat="false" ht="15" hidden="false" customHeight="false" outlineLevel="0" collapsed="false">
      <c r="B38" s="3" t="s">
        <v>293</v>
      </c>
      <c r="C38" s="4"/>
      <c r="D38" s="4"/>
      <c r="E38" s="4"/>
    </row>
    <row r="39" customFormat="false" ht="15" hidden="false" customHeight="false" outlineLevel="0" collapsed="false">
      <c r="B39" s="11" t="s">
        <v>294</v>
      </c>
      <c r="C39" s="38" t="n">
        <f aca="false">Assumptions!$C$63*$C$34/100</f>
        <v>28.8</v>
      </c>
      <c r="D39" s="7" t="s">
        <v>278</v>
      </c>
    </row>
    <row r="40" customFormat="false" ht="15" hidden="false" customHeight="false" outlineLevel="0" collapsed="false">
      <c r="B40" s="11" t="s">
        <v>148</v>
      </c>
      <c r="C40" s="37" t="n">
        <f aca="false">$C$39*Assumptions!$C$64+Assumptions!$C$65</f>
        <v>1.1352</v>
      </c>
      <c r="D40" s="7" t="s">
        <v>278</v>
      </c>
    </row>
    <row r="41" customFormat="false" ht="15" hidden="false" customHeight="false" outlineLevel="0" collapsed="false">
      <c r="B41" s="5" t="s">
        <v>295</v>
      </c>
      <c r="C41" s="25" t="n">
        <f aca="false">$C$39-$C$31-$C$40</f>
        <v>4.55047233277754</v>
      </c>
      <c r="D41" s="7" t="s">
        <v>278</v>
      </c>
    </row>
    <row r="42" customFormat="false" ht="22.35" hidden="false" customHeight="false" outlineLevel="0" collapsed="false">
      <c r="B42" s="5" t="s">
        <v>296</v>
      </c>
      <c r="C42" s="40" t="n">
        <f aca="false">IFERROR($C$41/$C$39,0)</f>
        <v>0.158002511554776</v>
      </c>
      <c r="D42" s="7" t="s">
        <v>90</v>
      </c>
      <c r="E42" s="9" t="s">
        <v>297</v>
      </c>
    </row>
    <row r="43" customFormat="false" ht="15" hidden="false" customHeight="false" outlineLevel="0" collapsed="false">
      <c r="B43" s="5" t="s">
        <v>298</v>
      </c>
      <c r="C43" s="39" t="n">
        <f aca="false">IFERROR(($C$31+$C$40)/($C$34/100),0)</f>
        <v>0.269439196302472</v>
      </c>
      <c r="D43" s="7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6" min="2" style="0" width="12"/>
    <col collapsed="false" customWidth="true" hidden="false" outlineLevel="0" max="22" min="7" style="0" width="10"/>
  </cols>
  <sheetData>
    <row r="1" customFormat="false" ht="17.35" hidden="false" customHeight="false" outlineLevel="0" collapsed="false">
      <c r="A1" s="1" t="s">
        <v>299</v>
      </c>
    </row>
    <row r="2" customFormat="false" ht="15" hidden="false" customHeight="false" outlineLevel="0" collapsed="false">
      <c r="A2" s="7" t="s">
        <v>300</v>
      </c>
    </row>
    <row r="3" customFormat="false" ht="15" hidden="false" customHeight="false" outlineLevel="0" collapsed="false">
      <c r="G3" s="41" t="s">
        <v>291</v>
      </c>
      <c r="O3" s="41" t="s">
        <v>301</v>
      </c>
    </row>
    <row r="4" customFormat="false" ht="15" hidden="false" customHeight="false" outlineLevel="0" collapsed="false">
      <c r="A4" s="27" t="s">
        <v>302</v>
      </c>
      <c r="B4" s="27" t="s">
        <v>303</v>
      </c>
      <c r="C4" s="27" t="s">
        <v>304</v>
      </c>
      <c r="D4" s="27" t="s">
        <v>305</v>
      </c>
      <c r="E4" s="27" t="s">
        <v>306</v>
      </c>
      <c r="F4" s="27" t="s">
        <v>307</v>
      </c>
      <c r="G4" s="33" t="n">
        <v>2</v>
      </c>
      <c r="H4" s="33" t="n">
        <v>3</v>
      </c>
      <c r="I4" s="33" t="n">
        <v>4</v>
      </c>
      <c r="J4" s="33" t="n">
        <v>5</v>
      </c>
      <c r="K4" s="33" t="n">
        <v>6</v>
      </c>
      <c r="L4" s="33" t="n">
        <v>7</v>
      </c>
      <c r="M4" s="33" t="n">
        <v>8</v>
      </c>
      <c r="O4" s="33" t="n">
        <v>2</v>
      </c>
      <c r="P4" s="33" t="n">
        <v>3</v>
      </c>
      <c r="Q4" s="33" t="n">
        <v>4</v>
      </c>
      <c r="R4" s="33" t="n">
        <v>5</v>
      </c>
      <c r="S4" s="33" t="n">
        <v>6</v>
      </c>
      <c r="T4" s="33" t="n">
        <v>7</v>
      </c>
      <c r="U4" s="33" t="n">
        <v>8</v>
      </c>
    </row>
    <row r="5" customFormat="false" ht="15" hidden="false" customHeight="false" outlineLevel="0" collapsed="false">
      <c r="A5" s="10" t="n">
        <v>6</v>
      </c>
      <c r="B5" s="12" t="n">
        <f aca="false">$A5*Assumptions!$C$18+Assumptions!$C$34</f>
        <v>1.81311007248805</v>
      </c>
      <c r="C5" s="21" t="n">
        <f aca="false">$A5*Assumptions!$C$36*(1-Assumptions!$C$33)</f>
        <v>340.2</v>
      </c>
      <c r="D5" s="12" t="n">
        <f aca="false">C5/Assumptions!$C$35</f>
        <v>2.44748201438849</v>
      </c>
      <c r="E5" s="12" t="n">
        <f aca="false">MAX(B5,D5)</f>
        <v>2.44748201438849</v>
      </c>
      <c r="F5" s="37" t="n">
        <f aca="false">$A5*(Assumptions!$C$29+Assumptions!$C$51+Assumptions!$C$52+Assumptions!$C$60)+Assumptions!$C$56+Assumptions!$C$57</f>
        <v>5.04286553344449</v>
      </c>
      <c r="G5" s="42" t="n">
        <f aca="false">IFERROR(($F5+IFERROR(INDEX('Freight Rates'!$B$5:$H$13,MATCH($E5,'Freight Rates'!$A$5:$A$13,1),MATCH(G$4,'Freight Rates'!$B$4:$H$4,0)),0))/(($A5*Assumptions!$C$8)/100),0)</f>
        <v>0.735714751858027</v>
      </c>
      <c r="H5" s="42" t="n">
        <f aca="false">IFERROR(($F5+IFERROR(INDEX('Freight Rates'!$B$5:$H$13,MATCH($E5,'Freight Rates'!$A$5:$A$13,1),MATCH(H$4,'Freight Rates'!$B$4:$H$4,0)),0))/(($A5*Assumptions!$C$8)/100),0)</f>
        <v>0.755159196302472</v>
      </c>
      <c r="I5" s="42" t="n">
        <f aca="false">IFERROR(($F5+IFERROR(INDEX('Freight Rates'!$B$5:$H$13,MATCH($E5,'Freight Rates'!$A$5:$A$13,1),MATCH(I$4,'Freight Rates'!$B$4:$H$4,0)),0))/(($A5*Assumptions!$C$8)/100),0)</f>
        <v>0.78293697408025</v>
      </c>
      <c r="J5" s="42" t="n">
        <f aca="false">IFERROR(($F5+IFERROR(INDEX('Freight Rates'!$B$5:$H$13,MATCH($E5,'Freight Rates'!$A$5:$A$13,1),MATCH(J$4,'Freight Rates'!$B$4:$H$4,0)),0))/(($A5*Assumptions!$C$8)/100),0)</f>
        <v>0.813492529635805</v>
      </c>
      <c r="K5" s="42" t="n">
        <f aca="false">IFERROR(($F5+IFERROR(INDEX('Freight Rates'!$B$5:$H$13,MATCH($E5,'Freight Rates'!$A$5:$A$13,1),MATCH(K$4,'Freight Rates'!$B$4:$H$4,0)),0))/(($A5*Assumptions!$C$8)/100),0)</f>
        <v>0.846825862969138</v>
      </c>
      <c r="L5" s="42" t="n">
        <f aca="false">IFERROR(($F5+IFERROR(INDEX('Freight Rates'!$B$5:$H$13,MATCH($E5,'Freight Rates'!$A$5:$A$13,1),MATCH(L$4,'Freight Rates'!$B$4:$H$4,0)),0))/(($A5*Assumptions!$C$8)/100),0)</f>
        <v>0.88293697408025</v>
      </c>
      <c r="M5" s="42" t="n">
        <f aca="false">IFERROR(($F5+IFERROR(INDEX('Freight Rates'!$B$5:$H$13,MATCH($E5,'Freight Rates'!$A$5:$A$13,1),MATCH(M$4,'Freight Rates'!$B$4:$H$4,0)),0))/(($A5*Assumptions!$C$8)/100),0)</f>
        <v>0.919048085191361</v>
      </c>
      <c r="O5" s="36" t="n">
        <f aca="false">IFERROR(((Assumptions!$C$63*($A5*Assumptions!$C$8)/100)-($F5+IFERROR(INDEX('Freight Rates'!$B$5:$H$13,MATCH($E5,'Freight Rates'!$A$5:$A$13,1),MATCH(O$4,'Freight Rates'!$B$4:$H$4,0)),0))-((Assumptions!$C$63*($A5*Assumptions!$C$8)/100)*Assumptions!$C$64+Assumptions!$C$65))/(Assumptions!$C$63*($A5*Assumptions!$C$8)/100),0)</f>
        <v>-1.38019193288967</v>
      </c>
      <c r="P5" s="36" t="n">
        <f aca="false">IFERROR(((Assumptions!$C$63*($A5*Assumptions!$C$8)/100)-($F5+IFERROR(INDEX('Freight Rates'!$B$5:$H$13,MATCH($E5,'Freight Rates'!$A$5:$A$13,1),MATCH(P$4,'Freight Rates'!$B$4:$H$4,0)),0))-((Assumptions!$C$63*($A5*Assumptions!$C$8)/100)*Assumptions!$C$64+Assumptions!$C$65))/(Assumptions!$C$63*($A5*Assumptions!$C$8)/100),0)</f>
        <v>-1.44095582177856</v>
      </c>
      <c r="Q5" s="36" t="n">
        <f aca="false">IFERROR(((Assumptions!$C$63*($A5*Assumptions!$C$8)/100)-($F5+IFERROR(INDEX('Freight Rates'!$B$5:$H$13,MATCH($E5,'Freight Rates'!$A$5:$A$13,1),MATCH(Q$4,'Freight Rates'!$B$4:$H$4,0)),0))-((Assumptions!$C$63*($A5*Assumptions!$C$8)/100)*Assumptions!$C$64+Assumptions!$C$65))/(Assumptions!$C$63*($A5*Assumptions!$C$8)/100),0)</f>
        <v>-1.52776137733411</v>
      </c>
      <c r="R5" s="36" t="n">
        <f aca="false">IFERROR(((Assumptions!$C$63*($A5*Assumptions!$C$8)/100)-($F5+IFERROR(INDEX('Freight Rates'!$B$5:$H$13,MATCH($E5,'Freight Rates'!$A$5:$A$13,1),MATCH(R$4,'Freight Rates'!$B$4:$H$4,0)),0))-((Assumptions!$C$63*($A5*Assumptions!$C$8)/100)*Assumptions!$C$64+Assumptions!$C$65))/(Assumptions!$C$63*($A5*Assumptions!$C$8)/100),0)</f>
        <v>-1.62324748844522</v>
      </c>
      <c r="S5" s="36" t="n">
        <f aca="false">IFERROR(((Assumptions!$C$63*($A5*Assumptions!$C$8)/100)-($F5+IFERROR(INDEX('Freight Rates'!$B$5:$H$13,MATCH($E5,'Freight Rates'!$A$5:$A$13,1),MATCH(S$4,'Freight Rates'!$B$4:$H$4,0)),0))-((Assumptions!$C$63*($A5*Assumptions!$C$8)/100)*Assumptions!$C$64+Assumptions!$C$65))/(Assumptions!$C$63*($A5*Assumptions!$C$8)/100),0)</f>
        <v>-1.72741415511189</v>
      </c>
      <c r="T5" s="36" t="n">
        <f aca="false">IFERROR(((Assumptions!$C$63*($A5*Assumptions!$C$8)/100)-($F5+IFERROR(INDEX('Freight Rates'!$B$5:$H$13,MATCH($E5,'Freight Rates'!$A$5:$A$13,1),MATCH(T$4,'Freight Rates'!$B$4:$H$4,0)),0))-((Assumptions!$C$63*($A5*Assumptions!$C$8)/100)*Assumptions!$C$64+Assumptions!$C$65))/(Assumptions!$C$63*($A5*Assumptions!$C$8)/100),0)</f>
        <v>-1.84026137733411</v>
      </c>
      <c r="U5" s="36" t="n">
        <f aca="false">IFERROR(((Assumptions!$C$63*($A5*Assumptions!$C$8)/100)-($F5+IFERROR(INDEX('Freight Rates'!$B$5:$H$13,MATCH($E5,'Freight Rates'!$A$5:$A$13,1),MATCH(U$4,'Freight Rates'!$B$4:$H$4,0)),0))-((Assumptions!$C$63*($A5*Assumptions!$C$8)/100)*Assumptions!$C$64+Assumptions!$C$65))/(Assumptions!$C$63*($A5*Assumptions!$C$8)/100),0)</f>
        <v>-1.95310859955634</v>
      </c>
    </row>
    <row r="6" customFormat="false" ht="15" hidden="false" customHeight="false" outlineLevel="0" collapsed="false">
      <c r="A6" s="10" t="n">
        <v>12</v>
      </c>
      <c r="B6" s="12" t="n">
        <f aca="false">$A6*Assumptions!$C$18+Assumptions!$C$34</f>
        <v>3.0262201449761</v>
      </c>
      <c r="C6" s="21" t="n">
        <f aca="false">$A6*Assumptions!$C$36*(1-Assumptions!$C$33)</f>
        <v>680.4</v>
      </c>
      <c r="D6" s="12" t="n">
        <f aca="false">C6/Assumptions!$C$35</f>
        <v>4.89496402877698</v>
      </c>
      <c r="E6" s="12" t="n">
        <f aca="false">MAX(B6,D6)</f>
        <v>4.89496402877698</v>
      </c>
      <c r="F6" s="37" t="n">
        <f aca="false">$A6*(Assumptions!$C$29+Assumptions!$C$51+Assumptions!$C$52+Assumptions!$C$60)+Assumptions!$C$56+Assumptions!$C$57</f>
        <v>6.48573106688898</v>
      </c>
      <c r="G6" s="42" t="n">
        <f aca="false">IFERROR(($F6+IFERROR(INDEX('Freight Rates'!$B$5:$H$13,MATCH($E6,'Freight Rates'!$A$5:$A$13,1),MATCH(G$4,'Freight Rates'!$B$4:$H$4,0)),0))/(($A6*Assumptions!$C$8)/100),0)</f>
        <v>0.417659196302472</v>
      </c>
      <c r="H6" s="42" t="n">
        <f aca="false">IFERROR(($F6+IFERROR(INDEX('Freight Rates'!$B$5:$H$13,MATCH($E6,'Freight Rates'!$A$5:$A$13,1),MATCH(H$4,'Freight Rates'!$B$4:$H$4,0)),0))/(($A6*Assumptions!$C$8)/100),0)</f>
        <v>0.428770307413583</v>
      </c>
      <c r="I6" s="42" t="n">
        <f aca="false">IFERROR(($F6+IFERROR(INDEX('Freight Rates'!$B$5:$H$13,MATCH($E6,'Freight Rates'!$A$5:$A$13,1),MATCH(I$4,'Freight Rates'!$B$4:$H$4,0)),0))/(($A6*Assumptions!$C$8)/100),0)</f>
        <v>0.444048085191361</v>
      </c>
      <c r="J6" s="42" t="n">
        <f aca="false">IFERROR(($F6+IFERROR(INDEX('Freight Rates'!$B$5:$H$13,MATCH($E6,'Freight Rates'!$A$5:$A$13,1),MATCH(J$4,'Freight Rates'!$B$4:$H$4,0)),0))/(($A6*Assumptions!$C$8)/100),0)</f>
        <v>0.460714751858027</v>
      </c>
      <c r="K6" s="42" t="n">
        <f aca="false">IFERROR(($F6+IFERROR(INDEX('Freight Rates'!$B$5:$H$13,MATCH($E6,'Freight Rates'!$A$5:$A$13,1),MATCH(K$4,'Freight Rates'!$B$4:$H$4,0)),0))/(($A6*Assumptions!$C$8)/100),0)</f>
        <v>0.478770307413583</v>
      </c>
      <c r="L6" s="42" t="n">
        <f aca="false">IFERROR(($F6+IFERROR(INDEX('Freight Rates'!$B$5:$H$13,MATCH($E6,'Freight Rates'!$A$5:$A$13,1),MATCH(L$4,'Freight Rates'!$B$4:$H$4,0)),0))/(($A6*Assumptions!$C$8)/100),0)</f>
        <v>0.498214751858027</v>
      </c>
      <c r="M6" s="42" t="n">
        <f aca="false">IFERROR(($F6+IFERROR(INDEX('Freight Rates'!$B$5:$H$13,MATCH($E6,'Freight Rates'!$A$5:$A$13,1),MATCH(M$4,'Freight Rates'!$B$4:$H$4,0)),0))/(($A6*Assumptions!$C$8)/100),0)</f>
        <v>0.519048085191361</v>
      </c>
      <c r="O6" s="36" t="n">
        <f aca="false">IFERROR(((Assumptions!$C$63*($A6*Assumptions!$C$8)/100)-($F6+IFERROR(INDEX('Freight Rates'!$B$5:$H$13,MATCH($E6,'Freight Rates'!$A$5:$A$13,1),MATCH(O$4,'Freight Rates'!$B$4:$H$4,0)),0))-((Assumptions!$C$63*($A6*Assumptions!$C$8)/100)*Assumptions!$C$64+Assumptions!$C$65))/(Assumptions!$C$63*($A6*Assumptions!$C$8)/100),0)</f>
        <v>-0.360226655111891</v>
      </c>
      <c r="P6" s="36" t="n">
        <f aca="false">IFERROR(((Assumptions!$C$63*($A6*Assumptions!$C$8)/100)-($F6+IFERROR(INDEX('Freight Rates'!$B$5:$H$13,MATCH($E6,'Freight Rates'!$A$5:$A$13,1),MATCH(P$4,'Freight Rates'!$B$4:$H$4,0)),0))-((Assumptions!$C$63*($A6*Assumptions!$C$8)/100)*Assumptions!$C$64+Assumptions!$C$65))/(Assumptions!$C$63*($A6*Assumptions!$C$8)/100),0)</f>
        <v>-0.394948877334113</v>
      </c>
      <c r="Q6" s="36" t="n">
        <f aca="false">IFERROR(((Assumptions!$C$63*($A6*Assumptions!$C$8)/100)-($F6+IFERROR(INDEX('Freight Rates'!$B$5:$H$13,MATCH($E6,'Freight Rates'!$A$5:$A$13,1),MATCH(Q$4,'Freight Rates'!$B$4:$H$4,0)),0))-((Assumptions!$C$63*($A6*Assumptions!$C$8)/100)*Assumptions!$C$64+Assumptions!$C$65))/(Assumptions!$C$63*($A6*Assumptions!$C$8)/100),0)</f>
        <v>-0.442691932889669</v>
      </c>
      <c r="R6" s="36" t="n">
        <f aca="false">IFERROR(((Assumptions!$C$63*($A6*Assumptions!$C$8)/100)-($F6+IFERROR(INDEX('Freight Rates'!$B$5:$H$13,MATCH($E6,'Freight Rates'!$A$5:$A$13,1),MATCH(R$4,'Freight Rates'!$B$4:$H$4,0)),0))-((Assumptions!$C$63*($A6*Assumptions!$C$8)/100)*Assumptions!$C$64+Assumptions!$C$65))/(Assumptions!$C$63*($A6*Assumptions!$C$8)/100),0)</f>
        <v>-0.494775266223002</v>
      </c>
      <c r="S6" s="36" t="n">
        <f aca="false">IFERROR(((Assumptions!$C$63*($A6*Assumptions!$C$8)/100)-($F6+IFERROR(INDEX('Freight Rates'!$B$5:$H$13,MATCH($E6,'Freight Rates'!$A$5:$A$13,1),MATCH(S$4,'Freight Rates'!$B$4:$H$4,0)),0))-((Assumptions!$C$63*($A6*Assumptions!$C$8)/100)*Assumptions!$C$64+Assumptions!$C$65))/(Assumptions!$C$63*($A6*Assumptions!$C$8)/100),0)</f>
        <v>-0.551198877334113</v>
      </c>
      <c r="T6" s="36" t="n">
        <f aca="false">IFERROR(((Assumptions!$C$63*($A6*Assumptions!$C$8)/100)-($F6+IFERROR(INDEX('Freight Rates'!$B$5:$H$13,MATCH($E6,'Freight Rates'!$A$5:$A$13,1),MATCH(T$4,'Freight Rates'!$B$4:$H$4,0)),0))-((Assumptions!$C$63*($A6*Assumptions!$C$8)/100)*Assumptions!$C$64+Assumptions!$C$65))/(Assumptions!$C$63*($A6*Assumptions!$C$8)/100),0)</f>
        <v>-0.611962766223002</v>
      </c>
      <c r="U6" s="36" t="n">
        <f aca="false">IFERROR(((Assumptions!$C$63*($A6*Assumptions!$C$8)/100)-($F6+IFERROR(INDEX('Freight Rates'!$B$5:$H$13,MATCH($E6,'Freight Rates'!$A$5:$A$13,1),MATCH(U$4,'Freight Rates'!$B$4:$H$4,0)),0))-((Assumptions!$C$63*($A6*Assumptions!$C$8)/100)*Assumptions!$C$64+Assumptions!$C$65))/(Assumptions!$C$63*($A6*Assumptions!$C$8)/100),0)</f>
        <v>-0.677066932889669</v>
      </c>
    </row>
    <row r="7" customFormat="false" ht="15" hidden="false" customHeight="false" outlineLevel="0" collapsed="false">
      <c r="A7" s="10" t="n">
        <v>18</v>
      </c>
      <c r="B7" s="12" t="n">
        <f aca="false">$A7*Assumptions!$C$18+Assumptions!$C$34</f>
        <v>4.23933021746415</v>
      </c>
      <c r="C7" s="21" t="n">
        <f aca="false">$A7*Assumptions!$C$36*(1-Assumptions!$C$33)</f>
        <v>1020.6</v>
      </c>
      <c r="D7" s="12" t="n">
        <f aca="false">C7/Assumptions!$C$35</f>
        <v>7.34244604316547</v>
      </c>
      <c r="E7" s="12" t="n">
        <f aca="false">MAX(B7,D7)</f>
        <v>7.34244604316547</v>
      </c>
      <c r="F7" s="37" t="n">
        <f aca="false">$A7*(Assumptions!$C$29+Assumptions!$C$51+Assumptions!$C$52+Assumptions!$C$60)+Assumptions!$C$56+Assumptions!$C$57</f>
        <v>7.92859660033347</v>
      </c>
      <c r="G7" s="42" t="n">
        <f aca="false">IFERROR(($F7+IFERROR(INDEX('Freight Rates'!$B$5:$H$13,MATCH($E7,'Freight Rates'!$A$5:$A$13,1),MATCH(G$4,'Freight Rates'!$B$4:$H$4,0)),0))/(($A7*Assumptions!$C$8)/100),0)</f>
        <v>0.311640677783953</v>
      </c>
      <c r="H7" s="42" t="n">
        <f aca="false">IFERROR(($F7+IFERROR(INDEX('Freight Rates'!$B$5:$H$13,MATCH($E7,'Freight Rates'!$A$5:$A$13,1),MATCH(H$4,'Freight Rates'!$B$4:$H$4,0)),0))/(($A7*Assumptions!$C$8)/100),0)</f>
        <v>0.319048085191361</v>
      </c>
      <c r="I7" s="42" t="n">
        <f aca="false">IFERROR(($F7+IFERROR(INDEX('Freight Rates'!$B$5:$H$13,MATCH($E7,'Freight Rates'!$A$5:$A$13,1),MATCH(I$4,'Freight Rates'!$B$4:$H$4,0)),0))/(($A7*Assumptions!$C$8)/100),0)</f>
        <v>0.330159196302472</v>
      </c>
      <c r="J7" s="42" t="n">
        <f aca="false">IFERROR(($F7+IFERROR(INDEX('Freight Rates'!$B$5:$H$13,MATCH($E7,'Freight Rates'!$A$5:$A$13,1),MATCH(J$4,'Freight Rates'!$B$4:$H$4,0)),0))/(($A7*Assumptions!$C$8)/100),0)</f>
        <v>0.343122159265435</v>
      </c>
      <c r="K7" s="42" t="n">
        <f aca="false">IFERROR(($F7+IFERROR(INDEX('Freight Rates'!$B$5:$H$13,MATCH($E7,'Freight Rates'!$A$5:$A$13,1),MATCH(K$4,'Freight Rates'!$B$4:$H$4,0)),0))/(($A7*Assumptions!$C$8)/100),0)</f>
        <v>0.356085122228398</v>
      </c>
      <c r="L7" s="42" t="n">
        <f aca="false">IFERROR(($F7+IFERROR(INDEX('Freight Rates'!$B$5:$H$13,MATCH($E7,'Freight Rates'!$A$5:$A$13,1),MATCH(L$4,'Freight Rates'!$B$4:$H$4,0)),0))/(($A7*Assumptions!$C$8)/100),0)</f>
        <v>0.370899937043212</v>
      </c>
      <c r="M7" s="42" t="n">
        <f aca="false">IFERROR(($F7+IFERROR(INDEX('Freight Rates'!$B$5:$H$13,MATCH($E7,'Freight Rates'!$A$5:$A$13,1),MATCH(M$4,'Freight Rates'!$B$4:$H$4,0)),0))/(($A7*Assumptions!$C$8)/100),0)</f>
        <v>0.385714751858027</v>
      </c>
      <c r="O7" s="36" t="n">
        <f aca="false">IFERROR(((Assumptions!$C$63*($A7*Assumptions!$C$8)/100)-($F7+IFERROR(INDEX('Freight Rates'!$B$5:$H$13,MATCH($E7,'Freight Rates'!$A$5:$A$13,1),MATCH(O$4,'Freight Rates'!$B$4:$H$4,0)),0))-((Assumptions!$C$63*($A7*Assumptions!$C$8)/100)*Assumptions!$C$64+Assumptions!$C$65))/(Assumptions!$C$63*($A7*Assumptions!$C$8)/100),0)</f>
        <v>-0.020238229185965</v>
      </c>
      <c r="P7" s="36" t="n">
        <f aca="false">IFERROR(((Assumptions!$C$63*($A7*Assumptions!$C$8)/100)-($F7+IFERROR(INDEX('Freight Rates'!$B$5:$H$13,MATCH($E7,'Freight Rates'!$A$5:$A$13,1),MATCH(P$4,'Freight Rates'!$B$4:$H$4,0)),0))-((Assumptions!$C$63*($A7*Assumptions!$C$8)/100)*Assumptions!$C$64+Assumptions!$C$65))/(Assumptions!$C$63*($A7*Assumptions!$C$8)/100),0)</f>
        <v>-0.0433863773341131</v>
      </c>
      <c r="Q7" s="36" t="n">
        <f aca="false">IFERROR(((Assumptions!$C$63*($A7*Assumptions!$C$8)/100)-($F7+IFERROR(INDEX('Freight Rates'!$B$5:$H$13,MATCH($E7,'Freight Rates'!$A$5:$A$13,1),MATCH(Q$4,'Freight Rates'!$B$4:$H$4,0)),0))-((Assumptions!$C$63*($A7*Assumptions!$C$8)/100)*Assumptions!$C$64+Assumptions!$C$65))/(Assumptions!$C$63*($A7*Assumptions!$C$8)/100),0)</f>
        <v>-0.0781085995563354</v>
      </c>
      <c r="R7" s="36" t="n">
        <f aca="false">IFERROR(((Assumptions!$C$63*($A7*Assumptions!$C$8)/100)-($F7+IFERROR(INDEX('Freight Rates'!$B$5:$H$13,MATCH($E7,'Freight Rates'!$A$5:$A$13,1),MATCH(R$4,'Freight Rates'!$B$4:$H$4,0)),0))-((Assumptions!$C$63*($A7*Assumptions!$C$8)/100)*Assumptions!$C$64+Assumptions!$C$65))/(Assumptions!$C$63*($A7*Assumptions!$C$8)/100),0)</f>
        <v>-0.118617858815594</v>
      </c>
      <c r="S7" s="36" t="n">
        <f aca="false">IFERROR(((Assumptions!$C$63*($A7*Assumptions!$C$8)/100)-($F7+IFERROR(INDEX('Freight Rates'!$B$5:$H$13,MATCH($E7,'Freight Rates'!$A$5:$A$13,1),MATCH(S$4,'Freight Rates'!$B$4:$H$4,0)),0))-((Assumptions!$C$63*($A7*Assumptions!$C$8)/100)*Assumptions!$C$64+Assumptions!$C$65))/(Assumptions!$C$63*($A7*Assumptions!$C$8)/100),0)</f>
        <v>-0.159127118074854</v>
      </c>
      <c r="T7" s="36" t="n">
        <f aca="false">IFERROR(((Assumptions!$C$63*($A7*Assumptions!$C$8)/100)-($F7+IFERROR(INDEX('Freight Rates'!$B$5:$H$13,MATCH($E7,'Freight Rates'!$A$5:$A$13,1),MATCH(T$4,'Freight Rates'!$B$4:$H$4,0)),0))-((Assumptions!$C$63*($A7*Assumptions!$C$8)/100)*Assumptions!$C$64+Assumptions!$C$65))/(Assumptions!$C$63*($A7*Assumptions!$C$8)/100),0)</f>
        <v>-0.20542341437115</v>
      </c>
      <c r="U7" s="36" t="n">
        <f aca="false">IFERROR(((Assumptions!$C$63*($A7*Assumptions!$C$8)/100)-($F7+IFERROR(INDEX('Freight Rates'!$B$5:$H$13,MATCH($E7,'Freight Rates'!$A$5:$A$13,1),MATCH(U$4,'Freight Rates'!$B$4:$H$4,0)),0))-((Assumptions!$C$63*($A7*Assumptions!$C$8)/100)*Assumptions!$C$64+Assumptions!$C$65))/(Assumptions!$C$63*($A7*Assumptions!$C$8)/100),0)</f>
        <v>-0.251719710667447</v>
      </c>
    </row>
    <row r="8" customFormat="false" ht="15" hidden="false" customHeight="false" outlineLevel="0" collapsed="false">
      <c r="A8" s="10" t="n">
        <v>24</v>
      </c>
      <c r="B8" s="12" t="n">
        <f aca="false">$A8*Assumptions!$C$18+Assumptions!$C$34</f>
        <v>5.4524402899522</v>
      </c>
      <c r="C8" s="21" t="n">
        <f aca="false">$A8*Assumptions!$C$36*(1-Assumptions!$C$33)</f>
        <v>1360.8</v>
      </c>
      <c r="D8" s="12" t="n">
        <f aca="false">C8/Assumptions!$C$35</f>
        <v>9.78992805755396</v>
      </c>
      <c r="E8" s="12" t="n">
        <f aca="false">MAX(B8,D8)</f>
        <v>9.78992805755396</v>
      </c>
      <c r="F8" s="37" t="n">
        <f aca="false">$A8*(Assumptions!$C$29+Assumptions!$C$51+Assumptions!$C$52+Assumptions!$C$60)+Assumptions!$C$56+Assumptions!$C$57</f>
        <v>9.37146213377797</v>
      </c>
      <c r="G8" s="42" t="n">
        <f aca="false">IFERROR(($F8+IFERROR(INDEX('Freight Rates'!$B$5:$H$13,MATCH($E8,'Freight Rates'!$A$5:$A$13,1),MATCH(G$4,'Freight Rates'!$B$4:$H$4,0)),0))/(($A8*Assumptions!$C$8)/100),0)</f>
        <v>0.253770307413583</v>
      </c>
      <c r="H8" s="42" t="n">
        <f aca="false">IFERROR(($F8+IFERROR(INDEX('Freight Rates'!$B$5:$H$13,MATCH($E8,'Freight Rates'!$A$5:$A$13,1),MATCH(H$4,'Freight Rates'!$B$4:$H$4,0)),0))/(($A8*Assumptions!$C$8)/100),0)</f>
        <v>0.259325862969138</v>
      </c>
      <c r="I8" s="42" t="n">
        <f aca="false">IFERROR(($F8+IFERROR(INDEX('Freight Rates'!$B$5:$H$13,MATCH($E8,'Freight Rates'!$A$5:$A$13,1),MATCH(I$4,'Freight Rates'!$B$4:$H$4,0)),0))/(($A8*Assumptions!$C$8)/100),0)</f>
        <v>0.267659196302472</v>
      </c>
      <c r="J8" s="42" t="n">
        <f aca="false">IFERROR(($F8+IFERROR(INDEX('Freight Rates'!$B$5:$H$13,MATCH($E8,'Freight Rates'!$A$5:$A$13,1),MATCH(J$4,'Freight Rates'!$B$4:$H$4,0)),0))/(($A8*Assumptions!$C$8)/100),0)</f>
        <v>0.277381418524694</v>
      </c>
      <c r="K8" s="42" t="n">
        <f aca="false">IFERROR(($F8+IFERROR(INDEX('Freight Rates'!$B$5:$H$13,MATCH($E8,'Freight Rates'!$A$5:$A$13,1),MATCH(K$4,'Freight Rates'!$B$4:$H$4,0)),0))/(($A8*Assumptions!$C$8)/100),0)</f>
        <v>0.287103640746916</v>
      </c>
      <c r="L8" s="42" t="n">
        <f aca="false">IFERROR(($F8+IFERROR(INDEX('Freight Rates'!$B$5:$H$13,MATCH($E8,'Freight Rates'!$A$5:$A$13,1),MATCH(L$4,'Freight Rates'!$B$4:$H$4,0)),0))/(($A8*Assumptions!$C$8)/100),0)</f>
        <v>0.298214751858027</v>
      </c>
      <c r="M8" s="42" t="n">
        <f aca="false">IFERROR(($F8+IFERROR(INDEX('Freight Rates'!$B$5:$H$13,MATCH($E8,'Freight Rates'!$A$5:$A$13,1),MATCH(M$4,'Freight Rates'!$B$4:$H$4,0)),0))/(($A8*Assumptions!$C$8)/100),0)</f>
        <v>0.309325862969138</v>
      </c>
      <c r="O8" s="36" t="n">
        <f aca="false">IFERROR(((Assumptions!$C$63*($A8*Assumptions!$C$8)/100)-($F8+IFERROR(INDEX('Freight Rates'!$B$5:$H$13,MATCH($E8,'Freight Rates'!$A$5:$A$13,1),MATCH(O$4,'Freight Rates'!$B$4:$H$4,0)),0))-((Assumptions!$C$63*($A8*Assumptions!$C$8)/100)*Assumptions!$C$64+Assumptions!$C$65))/(Assumptions!$C$63*($A8*Assumptions!$C$8)/100),0)</f>
        <v>0.16494695599922</v>
      </c>
      <c r="P8" s="36" t="n">
        <f aca="false">IFERROR(((Assumptions!$C$63*($A8*Assumptions!$C$8)/100)-($F8+IFERROR(INDEX('Freight Rates'!$B$5:$H$13,MATCH($E8,'Freight Rates'!$A$5:$A$13,1),MATCH(P$4,'Freight Rates'!$B$4:$H$4,0)),0))-((Assumptions!$C$63*($A8*Assumptions!$C$8)/100)*Assumptions!$C$64+Assumptions!$C$65))/(Assumptions!$C$63*($A8*Assumptions!$C$8)/100),0)</f>
        <v>0.147585844888109</v>
      </c>
      <c r="Q8" s="36" t="n">
        <f aca="false">IFERROR(((Assumptions!$C$63*($A8*Assumptions!$C$8)/100)-($F8+IFERROR(INDEX('Freight Rates'!$B$5:$H$13,MATCH($E8,'Freight Rates'!$A$5:$A$13,1),MATCH(Q$4,'Freight Rates'!$B$4:$H$4,0)),0))-((Assumptions!$C$63*($A8*Assumptions!$C$8)/100)*Assumptions!$C$64+Assumptions!$C$65))/(Assumptions!$C$63*($A8*Assumptions!$C$8)/100),0)</f>
        <v>0.121544178221442</v>
      </c>
      <c r="R8" s="36" t="n">
        <f aca="false">IFERROR(((Assumptions!$C$63*($A8*Assumptions!$C$8)/100)-($F8+IFERROR(INDEX('Freight Rates'!$B$5:$H$13,MATCH($E8,'Freight Rates'!$A$5:$A$13,1),MATCH(R$4,'Freight Rates'!$B$4:$H$4,0)),0))-((Assumptions!$C$63*($A8*Assumptions!$C$8)/100)*Assumptions!$C$64+Assumptions!$C$65))/(Assumptions!$C$63*($A8*Assumptions!$C$8)/100),0)</f>
        <v>0.091162233776998</v>
      </c>
      <c r="S8" s="36" t="n">
        <f aca="false">IFERROR(((Assumptions!$C$63*($A8*Assumptions!$C$8)/100)-($F8+IFERROR(INDEX('Freight Rates'!$B$5:$H$13,MATCH($E8,'Freight Rates'!$A$5:$A$13,1),MATCH(S$4,'Freight Rates'!$B$4:$H$4,0)),0))-((Assumptions!$C$63*($A8*Assumptions!$C$8)/100)*Assumptions!$C$64+Assumptions!$C$65))/(Assumptions!$C$63*($A8*Assumptions!$C$8)/100),0)</f>
        <v>0.0607802893325536</v>
      </c>
      <c r="T8" s="36" t="n">
        <f aca="false">IFERROR(((Assumptions!$C$63*($A8*Assumptions!$C$8)/100)-($F8+IFERROR(INDEX('Freight Rates'!$B$5:$H$13,MATCH($E8,'Freight Rates'!$A$5:$A$13,1),MATCH(T$4,'Freight Rates'!$B$4:$H$4,0)),0))-((Assumptions!$C$63*($A8*Assumptions!$C$8)/100)*Assumptions!$C$64+Assumptions!$C$65))/(Assumptions!$C$63*($A8*Assumptions!$C$8)/100),0)</f>
        <v>0.0260580671103313</v>
      </c>
      <c r="U8" s="36" t="n">
        <f aca="false">IFERROR(((Assumptions!$C$63*($A8*Assumptions!$C$8)/100)-($F8+IFERROR(INDEX('Freight Rates'!$B$5:$H$13,MATCH($E8,'Freight Rates'!$A$5:$A$13,1),MATCH(U$4,'Freight Rates'!$B$4:$H$4,0)),0))-((Assumptions!$C$63*($A8*Assumptions!$C$8)/100)*Assumptions!$C$64+Assumptions!$C$65))/(Assumptions!$C$63*($A8*Assumptions!$C$8)/100),0)</f>
        <v>-0.00866415511189093</v>
      </c>
    </row>
    <row r="9" customFormat="false" ht="15" hidden="false" customHeight="false" outlineLevel="0" collapsed="false">
      <c r="A9" s="10" t="n">
        <v>30</v>
      </c>
      <c r="B9" s="12" t="n">
        <f aca="false">$A9*Assumptions!$C$18+Assumptions!$C$34</f>
        <v>6.66555036244026</v>
      </c>
      <c r="C9" s="21" t="n">
        <f aca="false">$A9*Assumptions!$C$36*(1-Assumptions!$C$33)</f>
        <v>1701</v>
      </c>
      <c r="D9" s="12" t="n">
        <f aca="false">C9/Assumptions!$C$35</f>
        <v>12.2374100719424</v>
      </c>
      <c r="E9" s="12" t="n">
        <f aca="false">MAX(B9,D9)</f>
        <v>12.2374100719424</v>
      </c>
      <c r="F9" s="37" t="n">
        <f aca="false">$A9*(Assumptions!$C$29+Assumptions!$C$51+Assumptions!$C$52+Assumptions!$C$60)+Assumptions!$C$56+Assumptions!$C$57</f>
        <v>10.8143276672225</v>
      </c>
      <c r="G9" s="42" t="n">
        <f aca="false">IFERROR(($F9+IFERROR(INDEX('Freight Rates'!$B$5:$H$13,MATCH($E9,'Freight Rates'!$A$5:$A$13,1),MATCH(G$4,'Freight Rates'!$B$4:$H$4,0)),0))/(($A9*Assumptions!$C$8)/100),0)</f>
        <v>0.229048085191361</v>
      </c>
      <c r="H9" s="42" t="n">
        <f aca="false">IFERROR(($F9+IFERROR(INDEX('Freight Rates'!$B$5:$H$13,MATCH($E9,'Freight Rates'!$A$5:$A$13,1),MATCH(H$4,'Freight Rates'!$B$4:$H$4,0)),0))/(($A9*Assumptions!$C$8)/100),0)</f>
        <v>0.235714751858027</v>
      </c>
      <c r="I9" s="42" t="n">
        <f aca="false">IFERROR(($F9+IFERROR(INDEX('Freight Rates'!$B$5:$H$13,MATCH($E9,'Freight Rates'!$A$5:$A$13,1),MATCH(I$4,'Freight Rates'!$B$4:$H$4,0)),0))/(($A9*Assumptions!$C$8)/100),0)</f>
        <v>0.245714751858027</v>
      </c>
      <c r="J9" s="42" t="n">
        <f aca="false">IFERROR(($F9+IFERROR(INDEX('Freight Rates'!$B$5:$H$13,MATCH($E9,'Freight Rates'!$A$5:$A$13,1),MATCH(J$4,'Freight Rates'!$B$4:$H$4,0)),0))/(($A9*Assumptions!$C$8)/100),0)</f>
        <v>0.256825862969138</v>
      </c>
      <c r="K9" s="42" t="n">
        <f aca="false">IFERROR(($F9+IFERROR(INDEX('Freight Rates'!$B$5:$H$13,MATCH($E9,'Freight Rates'!$A$5:$A$13,1),MATCH(K$4,'Freight Rates'!$B$4:$H$4,0)),0))/(($A9*Assumptions!$C$8)/100),0)</f>
        <v>0.26793697408025</v>
      </c>
      <c r="L9" s="42" t="n">
        <f aca="false">IFERROR(($F9+IFERROR(INDEX('Freight Rates'!$B$5:$H$13,MATCH($E9,'Freight Rates'!$A$5:$A$13,1),MATCH(L$4,'Freight Rates'!$B$4:$H$4,0)),0))/(($A9*Assumptions!$C$8)/100),0)</f>
        <v>0.280159196302472</v>
      </c>
      <c r="M9" s="42" t="n">
        <f aca="false">IFERROR(($F9+IFERROR(INDEX('Freight Rates'!$B$5:$H$13,MATCH($E9,'Freight Rates'!$A$5:$A$13,1),MATCH(M$4,'Freight Rates'!$B$4:$H$4,0)),0))/(($A9*Assumptions!$C$8)/100),0)</f>
        <v>0.292381418524694</v>
      </c>
      <c r="O9" s="36" t="n">
        <f aca="false">IFERROR(((Assumptions!$C$63*($A9*Assumptions!$C$8)/100)-($F9+IFERROR(INDEX('Freight Rates'!$B$5:$H$13,MATCH($E9,'Freight Rates'!$A$5:$A$13,1),MATCH(O$4,'Freight Rates'!$B$4:$H$4,0)),0))-((Assumptions!$C$63*($A9*Assumptions!$C$8)/100)*Assumptions!$C$64+Assumptions!$C$65))/(Assumptions!$C$63*($A9*Assumptions!$C$8)/100),0)</f>
        <v>0.244808067110331</v>
      </c>
      <c r="P9" s="36" t="n">
        <f aca="false">IFERROR(((Assumptions!$C$63*($A9*Assumptions!$C$8)/100)-($F9+IFERROR(INDEX('Freight Rates'!$B$5:$H$13,MATCH($E9,'Freight Rates'!$A$5:$A$13,1),MATCH(P$4,'Freight Rates'!$B$4:$H$4,0)),0))-((Assumptions!$C$63*($A9*Assumptions!$C$8)/100)*Assumptions!$C$64+Assumptions!$C$65))/(Assumptions!$C$63*($A9*Assumptions!$C$8)/100),0)</f>
        <v>0.223974733776998</v>
      </c>
      <c r="Q9" s="36" t="n">
        <f aca="false">IFERROR(((Assumptions!$C$63*($A9*Assumptions!$C$8)/100)-($F9+IFERROR(INDEX('Freight Rates'!$B$5:$H$13,MATCH($E9,'Freight Rates'!$A$5:$A$13,1),MATCH(Q$4,'Freight Rates'!$B$4:$H$4,0)),0))-((Assumptions!$C$63*($A9*Assumptions!$C$8)/100)*Assumptions!$C$64+Assumptions!$C$65))/(Assumptions!$C$63*($A9*Assumptions!$C$8)/100),0)</f>
        <v>0.192724733776998</v>
      </c>
      <c r="R9" s="36" t="n">
        <f aca="false">IFERROR(((Assumptions!$C$63*($A9*Assumptions!$C$8)/100)-($F9+IFERROR(INDEX('Freight Rates'!$B$5:$H$13,MATCH($E9,'Freight Rates'!$A$5:$A$13,1),MATCH(R$4,'Freight Rates'!$B$4:$H$4,0)),0))-((Assumptions!$C$63*($A9*Assumptions!$C$8)/100)*Assumptions!$C$64+Assumptions!$C$65))/(Assumptions!$C$63*($A9*Assumptions!$C$8)/100),0)</f>
        <v>0.158002511554776</v>
      </c>
      <c r="S9" s="36" t="n">
        <f aca="false">IFERROR(((Assumptions!$C$63*($A9*Assumptions!$C$8)/100)-($F9+IFERROR(INDEX('Freight Rates'!$B$5:$H$13,MATCH($E9,'Freight Rates'!$A$5:$A$13,1),MATCH(S$4,'Freight Rates'!$B$4:$H$4,0)),0))-((Assumptions!$C$63*($A9*Assumptions!$C$8)/100)*Assumptions!$C$64+Assumptions!$C$65))/(Assumptions!$C$63*($A9*Assumptions!$C$8)/100),0)</f>
        <v>0.123280289332553</v>
      </c>
      <c r="T9" s="36" t="n">
        <f aca="false">IFERROR(((Assumptions!$C$63*($A9*Assumptions!$C$8)/100)-($F9+IFERROR(INDEX('Freight Rates'!$B$5:$H$13,MATCH($E9,'Freight Rates'!$A$5:$A$13,1),MATCH(T$4,'Freight Rates'!$B$4:$H$4,0)),0))-((Assumptions!$C$63*($A9*Assumptions!$C$8)/100)*Assumptions!$C$64+Assumptions!$C$65))/(Assumptions!$C$63*($A9*Assumptions!$C$8)/100),0)</f>
        <v>0.0850858448881091</v>
      </c>
      <c r="U9" s="36" t="n">
        <f aca="false">IFERROR(((Assumptions!$C$63*($A9*Assumptions!$C$8)/100)-($F9+IFERROR(INDEX('Freight Rates'!$B$5:$H$13,MATCH($E9,'Freight Rates'!$A$5:$A$13,1),MATCH(U$4,'Freight Rates'!$B$4:$H$4,0)),0))-((Assumptions!$C$63*($A9*Assumptions!$C$8)/100)*Assumptions!$C$64+Assumptions!$C$65))/(Assumptions!$C$63*($A9*Assumptions!$C$8)/100),0)</f>
        <v>0.0468914004436647</v>
      </c>
    </row>
    <row r="10" customFormat="false" ht="15" hidden="false" customHeight="false" outlineLevel="0" collapsed="false">
      <c r="A10" s="10" t="n">
        <v>36</v>
      </c>
      <c r="B10" s="12" t="n">
        <f aca="false">$A10*Assumptions!$C$18+Assumptions!$C$34</f>
        <v>7.87866043492831</v>
      </c>
      <c r="C10" s="21" t="n">
        <f aca="false">$A10*Assumptions!$C$36*(1-Assumptions!$C$33)</f>
        <v>2041.2</v>
      </c>
      <c r="D10" s="12" t="n">
        <f aca="false">C10/Assumptions!$C$35</f>
        <v>14.6848920863309</v>
      </c>
      <c r="E10" s="12" t="n">
        <f aca="false">MAX(B10,D10)</f>
        <v>14.6848920863309</v>
      </c>
      <c r="F10" s="37" t="n">
        <f aca="false">$A10*(Assumptions!$C$29+Assumptions!$C$51+Assumptions!$C$52+Assumptions!$C$60)+Assumptions!$C$56+Assumptions!$C$57</f>
        <v>12.2571932006669</v>
      </c>
      <c r="G10" s="42" t="n">
        <f aca="false">IFERROR(($F10+IFERROR(INDEX('Freight Rates'!$B$5:$H$13,MATCH($E10,'Freight Rates'!$A$5:$A$13,1),MATCH(G$4,'Freight Rates'!$B$4:$H$4,0)),0))/(($A10*Assumptions!$C$8)/100),0)</f>
        <v>0.204233270376546</v>
      </c>
      <c r="H10" s="42" t="n">
        <f aca="false">IFERROR(($F10+IFERROR(INDEX('Freight Rates'!$B$5:$H$13,MATCH($E10,'Freight Rates'!$A$5:$A$13,1),MATCH(H$4,'Freight Rates'!$B$4:$H$4,0)),0))/(($A10*Assumptions!$C$8)/100),0)</f>
        <v>0.209788825932101</v>
      </c>
      <c r="I10" s="42" t="n">
        <f aca="false">IFERROR(($F10+IFERROR(INDEX('Freight Rates'!$B$5:$H$13,MATCH($E10,'Freight Rates'!$A$5:$A$13,1),MATCH(I$4,'Freight Rates'!$B$4:$H$4,0)),0))/(($A10*Assumptions!$C$8)/100),0)</f>
        <v>0.218122159265435</v>
      </c>
      <c r="J10" s="42" t="n">
        <f aca="false">IFERROR(($F10+IFERROR(INDEX('Freight Rates'!$B$5:$H$13,MATCH($E10,'Freight Rates'!$A$5:$A$13,1),MATCH(J$4,'Freight Rates'!$B$4:$H$4,0)),0))/(($A10*Assumptions!$C$8)/100),0)</f>
        <v>0.227381418524694</v>
      </c>
      <c r="K10" s="42" t="n">
        <f aca="false">IFERROR(($F10+IFERROR(INDEX('Freight Rates'!$B$5:$H$13,MATCH($E10,'Freight Rates'!$A$5:$A$13,1),MATCH(K$4,'Freight Rates'!$B$4:$H$4,0)),0))/(($A10*Assumptions!$C$8)/100),0)</f>
        <v>0.236640677783953</v>
      </c>
      <c r="L10" s="42" t="n">
        <f aca="false">IFERROR(($F10+IFERROR(INDEX('Freight Rates'!$B$5:$H$13,MATCH($E10,'Freight Rates'!$A$5:$A$13,1),MATCH(L$4,'Freight Rates'!$B$4:$H$4,0)),0))/(($A10*Assumptions!$C$8)/100),0)</f>
        <v>0.246825862969138</v>
      </c>
      <c r="M10" s="42" t="n">
        <f aca="false">IFERROR(($F10+IFERROR(INDEX('Freight Rates'!$B$5:$H$13,MATCH($E10,'Freight Rates'!$A$5:$A$13,1),MATCH(M$4,'Freight Rates'!$B$4:$H$4,0)),0))/(($A10*Assumptions!$C$8)/100),0)</f>
        <v>0.257011048154324</v>
      </c>
      <c r="O10" s="36" t="n">
        <f aca="false">IFERROR(((Assumptions!$C$63*($A10*Assumptions!$C$8)/100)-($F10+IFERROR(INDEX('Freight Rates'!$B$5:$H$13,MATCH($E10,'Freight Rates'!$A$5:$A$13,1),MATCH(O$4,'Freight Rates'!$B$4:$H$4,0)),0))-((Assumptions!$C$63*($A10*Assumptions!$C$8)/100)*Assumptions!$C$64+Assumptions!$C$65))/(Assumptions!$C$63*($A10*Assumptions!$C$8)/100),0)</f>
        <v>0.324090474517739</v>
      </c>
      <c r="P10" s="36" t="n">
        <f aca="false">IFERROR(((Assumptions!$C$63*($A10*Assumptions!$C$8)/100)-($F10+IFERROR(INDEX('Freight Rates'!$B$5:$H$13,MATCH($E10,'Freight Rates'!$A$5:$A$13,1),MATCH(P$4,'Freight Rates'!$B$4:$H$4,0)),0))-((Assumptions!$C$63*($A10*Assumptions!$C$8)/100)*Assumptions!$C$64+Assumptions!$C$65))/(Assumptions!$C$63*($A10*Assumptions!$C$8)/100),0)</f>
        <v>0.306729363406628</v>
      </c>
      <c r="Q10" s="36" t="n">
        <f aca="false">IFERROR(((Assumptions!$C$63*($A10*Assumptions!$C$8)/100)-($F10+IFERROR(INDEX('Freight Rates'!$B$5:$H$13,MATCH($E10,'Freight Rates'!$A$5:$A$13,1),MATCH(Q$4,'Freight Rates'!$B$4:$H$4,0)),0))-((Assumptions!$C$63*($A10*Assumptions!$C$8)/100)*Assumptions!$C$64+Assumptions!$C$65))/(Assumptions!$C$63*($A10*Assumptions!$C$8)/100),0)</f>
        <v>0.280687696739961</v>
      </c>
      <c r="R10" s="36" t="n">
        <f aca="false">IFERROR(((Assumptions!$C$63*($A10*Assumptions!$C$8)/100)-($F10+IFERROR(INDEX('Freight Rates'!$B$5:$H$13,MATCH($E10,'Freight Rates'!$A$5:$A$13,1),MATCH(R$4,'Freight Rates'!$B$4:$H$4,0)),0))-((Assumptions!$C$63*($A10*Assumptions!$C$8)/100)*Assumptions!$C$64+Assumptions!$C$65))/(Assumptions!$C$63*($A10*Assumptions!$C$8)/100),0)</f>
        <v>0.251752511554776</v>
      </c>
      <c r="S10" s="36" t="n">
        <f aca="false">IFERROR(((Assumptions!$C$63*($A10*Assumptions!$C$8)/100)-($F10+IFERROR(INDEX('Freight Rates'!$B$5:$H$13,MATCH($E10,'Freight Rates'!$A$5:$A$13,1),MATCH(S$4,'Freight Rates'!$B$4:$H$4,0)),0))-((Assumptions!$C$63*($A10*Assumptions!$C$8)/100)*Assumptions!$C$64+Assumptions!$C$65))/(Assumptions!$C$63*($A10*Assumptions!$C$8)/100),0)</f>
        <v>0.222817326369591</v>
      </c>
      <c r="T10" s="36" t="n">
        <f aca="false">IFERROR(((Assumptions!$C$63*($A10*Assumptions!$C$8)/100)-($F10+IFERROR(INDEX('Freight Rates'!$B$5:$H$13,MATCH($E10,'Freight Rates'!$A$5:$A$13,1),MATCH(T$4,'Freight Rates'!$B$4:$H$4,0)),0))-((Assumptions!$C$63*($A10*Assumptions!$C$8)/100)*Assumptions!$C$64+Assumptions!$C$65))/(Assumptions!$C$63*($A10*Assumptions!$C$8)/100),0)</f>
        <v>0.190988622665887</v>
      </c>
      <c r="U10" s="36" t="n">
        <f aca="false">IFERROR(((Assumptions!$C$63*($A10*Assumptions!$C$8)/100)-($F10+IFERROR(INDEX('Freight Rates'!$B$5:$H$13,MATCH($E10,'Freight Rates'!$A$5:$A$13,1),MATCH(U$4,'Freight Rates'!$B$4:$H$4,0)),0))-((Assumptions!$C$63*($A10*Assumptions!$C$8)/100)*Assumptions!$C$64+Assumptions!$C$65))/(Assumptions!$C$63*($A10*Assumptions!$C$8)/100),0)</f>
        <v>0.159159918962183</v>
      </c>
    </row>
    <row r="11" customFormat="false" ht="15" hidden="false" customHeight="false" outlineLevel="0" collapsed="false">
      <c r="A11" s="10" t="n">
        <v>48</v>
      </c>
      <c r="B11" s="12" t="n">
        <f aca="false">$A11*Assumptions!$C$18+Assumptions!$C$34</f>
        <v>10.3048805799044</v>
      </c>
      <c r="C11" s="21" t="n">
        <f aca="false">$A11*Assumptions!$C$36*(1-Assumptions!$C$33)</f>
        <v>2721.6</v>
      </c>
      <c r="D11" s="12" t="n">
        <f aca="false">C11/Assumptions!$C$35</f>
        <v>19.5798561151079</v>
      </c>
      <c r="E11" s="12" t="n">
        <f aca="false">MAX(B11,D11)</f>
        <v>19.5798561151079</v>
      </c>
      <c r="F11" s="37" t="n">
        <f aca="false">$A11*(Assumptions!$C$29+Assumptions!$C$51+Assumptions!$C$52+Assumptions!$C$60)+Assumptions!$C$56+Assumptions!$C$57</f>
        <v>15.1429242675559</v>
      </c>
      <c r="G11" s="42" t="n">
        <f aca="false">IFERROR(($F11+IFERROR(INDEX('Freight Rates'!$B$5:$H$13,MATCH($E11,'Freight Rates'!$A$5:$A$13,1),MATCH(G$4,'Freight Rates'!$B$4:$H$4,0)),0))/(($A11*Assumptions!$C$8)/100),0)</f>
        <v>0.180853640746916</v>
      </c>
      <c r="H11" s="42" t="n">
        <f aca="false">IFERROR(($F11+IFERROR(INDEX('Freight Rates'!$B$5:$H$13,MATCH($E11,'Freight Rates'!$A$5:$A$13,1),MATCH(H$4,'Freight Rates'!$B$4:$H$4,0)),0))/(($A11*Assumptions!$C$8)/100),0)</f>
        <v>0.186409196302472</v>
      </c>
      <c r="I11" s="42" t="n">
        <f aca="false">IFERROR(($F11+IFERROR(INDEX('Freight Rates'!$B$5:$H$13,MATCH($E11,'Freight Rates'!$A$5:$A$13,1),MATCH(I$4,'Freight Rates'!$B$4:$H$4,0)),0))/(($A11*Assumptions!$C$8)/100),0)</f>
        <v>0.194742529635805</v>
      </c>
      <c r="J11" s="42" t="n">
        <f aca="false">IFERROR(($F11+IFERROR(INDEX('Freight Rates'!$B$5:$H$13,MATCH($E11,'Freight Rates'!$A$5:$A$13,1),MATCH(J$4,'Freight Rates'!$B$4:$H$4,0)),0))/(($A11*Assumptions!$C$8)/100),0)</f>
        <v>0.203770307413583</v>
      </c>
      <c r="K11" s="42" t="n">
        <f aca="false">IFERROR(($F11+IFERROR(INDEX('Freight Rates'!$B$5:$H$13,MATCH($E11,'Freight Rates'!$A$5:$A$13,1),MATCH(K$4,'Freight Rates'!$B$4:$H$4,0)),0))/(($A11*Assumptions!$C$8)/100),0)</f>
        <v>0.213492529635805</v>
      </c>
      <c r="L11" s="42" t="n">
        <f aca="false">IFERROR(($F11+IFERROR(INDEX('Freight Rates'!$B$5:$H$13,MATCH($E11,'Freight Rates'!$A$5:$A$13,1),MATCH(L$4,'Freight Rates'!$B$4:$H$4,0)),0))/(($A11*Assumptions!$C$8)/100),0)</f>
        <v>0.223214751858027</v>
      </c>
      <c r="M11" s="42" t="n">
        <f aca="false">IFERROR(($F11+IFERROR(INDEX('Freight Rates'!$B$5:$H$13,MATCH($E11,'Freight Rates'!$A$5:$A$13,1),MATCH(M$4,'Freight Rates'!$B$4:$H$4,0)),0))/(($A11*Assumptions!$C$8)/100),0)</f>
        <v>0.233631418524694</v>
      </c>
      <c r="O11" s="36" t="n">
        <f aca="false">IFERROR(((Assumptions!$C$63*($A11*Assumptions!$C$8)/100)-($F11+IFERROR(INDEX('Freight Rates'!$B$5:$H$13,MATCH($E11,'Freight Rates'!$A$5:$A$13,1),MATCH(O$4,'Freight Rates'!$B$4:$H$4,0)),0))-((Assumptions!$C$63*($A11*Assumptions!$C$8)/100)*Assumptions!$C$64+Assumptions!$C$65))/(Assumptions!$C$63*($A11*Assumptions!$C$8)/100),0)</f>
        <v>0.39932195599922</v>
      </c>
      <c r="P11" s="36" t="n">
        <f aca="false">IFERROR(((Assumptions!$C$63*($A11*Assumptions!$C$8)/100)-($F11+IFERROR(INDEX('Freight Rates'!$B$5:$H$13,MATCH($E11,'Freight Rates'!$A$5:$A$13,1),MATCH(P$4,'Freight Rates'!$B$4:$H$4,0)),0))-((Assumptions!$C$63*($A11*Assumptions!$C$8)/100)*Assumptions!$C$64+Assumptions!$C$65))/(Assumptions!$C$63*($A11*Assumptions!$C$8)/100),0)</f>
        <v>0.381960844888109</v>
      </c>
      <c r="Q11" s="36" t="n">
        <f aca="false">IFERROR(((Assumptions!$C$63*($A11*Assumptions!$C$8)/100)-($F11+IFERROR(INDEX('Freight Rates'!$B$5:$H$13,MATCH($E11,'Freight Rates'!$A$5:$A$13,1),MATCH(Q$4,'Freight Rates'!$B$4:$H$4,0)),0))-((Assumptions!$C$63*($A11*Assumptions!$C$8)/100)*Assumptions!$C$64+Assumptions!$C$65))/(Assumptions!$C$63*($A11*Assumptions!$C$8)/100),0)</f>
        <v>0.355919178221442</v>
      </c>
      <c r="R11" s="36" t="n">
        <f aca="false">IFERROR(((Assumptions!$C$63*($A11*Assumptions!$C$8)/100)-($F11+IFERROR(INDEX('Freight Rates'!$B$5:$H$13,MATCH($E11,'Freight Rates'!$A$5:$A$13,1),MATCH(R$4,'Freight Rates'!$B$4:$H$4,0)),0))-((Assumptions!$C$63*($A11*Assumptions!$C$8)/100)*Assumptions!$C$64+Assumptions!$C$65))/(Assumptions!$C$63*($A11*Assumptions!$C$8)/100),0)</f>
        <v>0.327707372665887</v>
      </c>
      <c r="S11" s="36" t="n">
        <f aca="false">IFERROR(((Assumptions!$C$63*($A11*Assumptions!$C$8)/100)-($F11+IFERROR(INDEX('Freight Rates'!$B$5:$H$13,MATCH($E11,'Freight Rates'!$A$5:$A$13,1),MATCH(S$4,'Freight Rates'!$B$4:$H$4,0)),0))-((Assumptions!$C$63*($A11*Assumptions!$C$8)/100)*Assumptions!$C$64+Assumptions!$C$65))/(Assumptions!$C$63*($A11*Assumptions!$C$8)/100),0)</f>
        <v>0.297325428221442</v>
      </c>
      <c r="T11" s="36" t="n">
        <f aca="false">IFERROR(((Assumptions!$C$63*($A11*Assumptions!$C$8)/100)-($F11+IFERROR(INDEX('Freight Rates'!$B$5:$H$13,MATCH($E11,'Freight Rates'!$A$5:$A$13,1),MATCH(T$4,'Freight Rates'!$B$4:$H$4,0)),0))-((Assumptions!$C$63*($A11*Assumptions!$C$8)/100)*Assumptions!$C$64+Assumptions!$C$65))/(Assumptions!$C$63*($A11*Assumptions!$C$8)/100),0)</f>
        <v>0.266943483776998</v>
      </c>
      <c r="U11" s="36" t="n">
        <f aca="false">IFERROR(((Assumptions!$C$63*($A11*Assumptions!$C$8)/100)-($F11+IFERROR(INDEX('Freight Rates'!$B$5:$H$13,MATCH($E11,'Freight Rates'!$A$5:$A$13,1),MATCH(U$4,'Freight Rates'!$B$4:$H$4,0)),0))-((Assumptions!$C$63*($A11*Assumptions!$C$8)/100)*Assumptions!$C$64+Assumptions!$C$65))/(Assumptions!$C$63*($A11*Assumptions!$C$8)/100),0)</f>
        <v>0.234391400443665</v>
      </c>
    </row>
    <row r="12" customFormat="false" ht="15" hidden="false" customHeight="false" outlineLevel="0" collapsed="false">
      <c r="A12" s="10" t="n">
        <v>60</v>
      </c>
      <c r="B12" s="12" t="n">
        <f aca="false">$A12*Assumptions!$C$18+Assumptions!$C$34</f>
        <v>12.7311007248805</v>
      </c>
      <c r="C12" s="21" t="n">
        <f aca="false">$A12*Assumptions!$C$36*(1-Assumptions!$C$33)</f>
        <v>3402</v>
      </c>
      <c r="D12" s="12" t="n">
        <f aca="false">C12/Assumptions!$C$35</f>
        <v>24.4748201438849</v>
      </c>
      <c r="E12" s="12" t="n">
        <f aca="false">MAX(B12,D12)</f>
        <v>24.4748201438849</v>
      </c>
      <c r="F12" s="37" t="n">
        <f aca="false">$A12*(Assumptions!$C$29+Assumptions!$C$51+Assumptions!$C$52+Assumptions!$C$60)+Assumptions!$C$56+Assumptions!$C$57</f>
        <v>18.0286553344449</v>
      </c>
      <c r="G12" s="42" t="n">
        <f aca="false">IFERROR(($F12+IFERROR(INDEX('Freight Rates'!$B$5:$H$13,MATCH($E12,'Freight Rates'!$A$5:$A$13,1),MATCH(G$4,'Freight Rates'!$B$4:$H$4,0)),0))/(($A12*Assumptions!$C$8)/100),0)</f>
        <v>0.167381418524694</v>
      </c>
      <c r="H12" s="42" t="n">
        <f aca="false">IFERROR(($F12+IFERROR(INDEX('Freight Rates'!$B$5:$H$13,MATCH($E12,'Freight Rates'!$A$5:$A$13,1),MATCH(H$4,'Freight Rates'!$B$4:$H$4,0)),0))/(($A12*Assumptions!$C$8)/100),0)</f>
        <v>0.17293697408025</v>
      </c>
      <c r="I12" s="42" t="n">
        <f aca="false">IFERROR(($F12+IFERROR(INDEX('Freight Rates'!$B$5:$H$13,MATCH($E12,'Freight Rates'!$A$5:$A$13,1),MATCH(I$4,'Freight Rates'!$B$4:$H$4,0)),0))/(($A12*Assumptions!$C$8)/100),0)</f>
        <v>0.181270307413583</v>
      </c>
      <c r="J12" s="42" t="n">
        <f aca="false">IFERROR(($F12+IFERROR(INDEX('Freight Rates'!$B$5:$H$13,MATCH($E12,'Freight Rates'!$A$5:$A$13,1),MATCH(J$4,'Freight Rates'!$B$4:$H$4,0)),0))/(($A12*Assumptions!$C$8)/100),0)</f>
        <v>0.190714751858027</v>
      </c>
      <c r="K12" s="42" t="n">
        <f aca="false">IFERROR(($F12+IFERROR(INDEX('Freight Rates'!$B$5:$H$13,MATCH($E12,'Freight Rates'!$A$5:$A$13,1),MATCH(K$4,'Freight Rates'!$B$4:$H$4,0)),0))/(($A12*Assumptions!$C$8)/100),0)</f>
        <v>0.200159196302472</v>
      </c>
      <c r="L12" s="42" t="n">
        <f aca="false">IFERROR(($F12+IFERROR(INDEX('Freight Rates'!$B$5:$H$13,MATCH($E12,'Freight Rates'!$A$5:$A$13,1),MATCH(L$4,'Freight Rates'!$B$4:$H$4,0)),0))/(($A12*Assumptions!$C$8)/100),0)</f>
        <v>0.210159196302472</v>
      </c>
      <c r="M12" s="42" t="n">
        <f aca="false">IFERROR(($F12+IFERROR(INDEX('Freight Rates'!$B$5:$H$13,MATCH($E12,'Freight Rates'!$A$5:$A$13,1),MATCH(M$4,'Freight Rates'!$B$4:$H$4,0)),0))/(($A12*Assumptions!$C$8)/100),0)</f>
        <v>0.220714751858027</v>
      </c>
      <c r="O12" s="36" t="n">
        <f aca="false">IFERROR(((Assumptions!$C$63*($A12*Assumptions!$C$8)/100)-($F12+IFERROR(INDEX('Freight Rates'!$B$5:$H$13,MATCH($E12,'Freight Rates'!$A$5:$A$13,1),MATCH(O$4,'Freight Rates'!$B$4:$H$4,0)),0))-((Assumptions!$C$63*($A12*Assumptions!$C$8)/100)*Assumptions!$C$64+Assumptions!$C$65))/(Assumptions!$C$63*($A12*Assumptions!$C$8)/100),0)</f>
        <v>0.442724733776998</v>
      </c>
      <c r="P12" s="36" t="n">
        <f aca="false">IFERROR(((Assumptions!$C$63*($A12*Assumptions!$C$8)/100)-($F12+IFERROR(INDEX('Freight Rates'!$B$5:$H$13,MATCH($E12,'Freight Rates'!$A$5:$A$13,1),MATCH(P$4,'Freight Rates'!$B$4:$H$4,0)),0))-((Assumptions!$C$63*($A12*Assumptions!$C$8)/100)*Assumptions!$C$64+Assumptions!$C$65))/(Assumptions!$C$63*($A12*Assumptions!$C$8)/100),0)</f>
        <v>0.425363622665887</v>
      </c>
      <c r="Q12" s="36" t="n">
        <f aca="false">IFERROR(((Assumptions!$C$63*($A12*Assumptions!$C$8)/100)-($F12+IFERROR(INDEX('Freight Rates'!$B$5:$H$13,MATCH($E12,'Freight Rates'!$A$5:$A$13,1),MATCH(Q$4,'Freight Rates'!$B$4:$H$4,0)),0))-((Assumptions!$C$63*($A12*Assumptions!$C$8)/100)*Assumptions!$C$64+Assumptions!$C$65))/(Assumptions!$C$63*($A12*Assumptions!$C$8)/100),0)</f>
        <v>0.39932195599922</v>
      </c>
      <c r="R12" s="36" t="n">
        <f aca="false">IFERROR(((Assumptions!$C$63*($A12*Assumptions!$C$8)/100)-($F12+IFERROR(INDEX('Freight Rates'!$B$5:$H$13,MATCH($E12,'Freight Rates'!$A$5:$A$13,1),MATCH(R$4,'Freight Rates'!$B$4:$H$4,0)),0))-((Assumptions!$C$63*($A12*Assumptions!$C$8)/100)*Assumptions!$C$64+Assumptions!$C$65))/(Assumptions!$C$63*($A12*Assumptions!$C$8)/100),0)</f>
        <v>0.369808067110331</v>
      </c>
      <c r="S12" s="36" t="n">
        <f aca="false">IFERROR(((Assumptions!$C$63*($A12*Assumptions!$C$8)/100)-($F12+IFERROR(INDEX('Freight Rates'!$B$5:$H$13,MATCH($E12,'Freight Rates'!$A$5:$A$13,1),MATCH(S$4,'Freight Rates'!$B$4:$H$4,0)),0))-((Assumptions!$C$63*($A12*Assumptions!$C$8)/100)*Assumptions!$C$64+Assumptions!$C$65))/(Assumptions!$C$63*($A12*Assumptions!$C$8)/100),0)</f>
        <v>0.340294178221442</v>
      </c>
      <c r="T12" s="36" t="n">
        <f aca="false">IFERROR(((Assumptions!$C$63*($A12*Assumptions!$C$8)/100)-($F12+IFERROR(INDEX('Freight Rates'!$B$5:$H$13,MATCH($E12,'Freight Rates'!$A$5:$A$13,1),MATCH(T$4,'Freight Rates'!$B$4:$H$4,0)),0))-((Assumptions!$C$63*($A12*Assumptions!$C$8)/100)*Assumptions!$C$64+Assumptions!$C$65))/(Assumptions!$C$63*($A12*Assumptions!$C$8)/100),0)</f>
        <v>0.309044178221442</v>
      </c>
      <c r="U12" s="36" t="n">
        <f aca="false">IFERROR(((Assumptions!$C$63*($A12*Assumptions!$C$8)/100)-($F12+IFERROR(INDEX('Freight Rates'!$B$5:$H$13,MATCH($E12,'Freight Rates'!$A$5:$A$13,1),MATCH(U$4,'Freight Rates'!$B$4:$H$4,0)),0))-((Assumptions!$C$63*($A12*Assumptions!$C$8)/100)*Assumptions!$C$64+Assumptions!$C$65))/(Assumptions!$C$63*($A12*Assumptions!$C$8)/100),0)</f>
        <v>0.276058067110331</v>
      </c>
    </row>
    <row r="14" customFormat="false" ht="15" hidden="false" customHeight="false" outlineLevel="0" collapsed="false">
      <c r="A14" s="5" t="s">
        <v>308</v>
      </c>
    </row>
    <row r="15" customFormat="false" ht="15" hidden="false" customHeight="false" outlineLevel="0" collapsed="false">
      <c r="A15" s="7" t="s">
        <v>309</v>
      </c>
    </row>
    <row r="16" customFormat="false" ht="15" hidden="false" customHeight="false" outlineLevel="0" collapsed="false">
      <c r="A16" s="7" t="s">
        <v>310</v>
      </c>
    </row>
    <row r="17" customFormat="false" ht="15" hidden="false" customHeight="false" outlineLevel="0" collapsed="false">
      <c r="A17" s="7" t="s">
        <v>311</v>
      </c>
    </row>
    <row r="18" customFormat="false" ht="15" hidden="false" customHeight="false" outlineLevel="0" collapsed="false">
      <c r="A18" s="7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6"/>
  </cols>
  <sheetData>
    <row r="1" customFormat="false" ht="17.35" hidden="false" customHeight="false" outlineLevel="0" collapsed="false">
      <c r="A1" s="1" t="s">
        <v>313</v>
      </c>
    </row>
    <row r="2" customFormat="false" ht="15" hidden="false" customHeight="false" outlineLevel="0" collapsed="false">
      <c r="A2" s="7" t="s">
        <v>314</v>
      </c>
    </row>
    <row r="4" customFormat="false" ht="30" hidden="false" customHeight="true" outlineLevel="0" collapsed="false">
      <c r="A4" s="27" t="s">
        <v>315</v>
      </c>
      <c r="B4" s="27" t="s">
        <v>316</v>
      </c>
      <c r="C4" s="27" t="s">
        <v>317</v>
      </c>
      <c r="D4" s="27" t="s">
        <v>318</v>
      </c>
      <c r="E4" s="27" t="s">
        <v>319</v>
      </c>
      <c r="F4" s="27" t="s">
        <v>320</v>
      </c>
      <c r="G4" s="27" t="s">
        <v>321</v>
      </c>
      <c r="H4" s="27" t="s">
        <v>322</v>
      </c>
      <c r="I4" s="27" t="s">
        <v>178</v>
      </c>
    </row>
    <row r="5" customFormat="false" ht="27.75" hidden="false" customHeight="true" outlineLevel="0" collapsed="false">
      <c r="A5" s="10" t="n">
        <v>500</v>
      </c>
      <c r="B5" s="12" t="n">
        <f aca="false">IFERROR($A5/Assumptions!$C$44,0)</f>
        <v>0.260416666666667</v>
      </c>
      <c r="C5" s="43" t="n">
        <f aca="false">$A5*Assumptions!$C$29</f>
        <v>86.4647559921692</v>
      </c>
      <c r="D5" s="16" t="n">
        <f aca="false">IFERROR(Assumptions!$C$46*MAX(1,ROUNDUP($A5/Assumptions!$C$44,0))/$A5,0)</f>
        <v>0.5</v>
      </c>
      <c r="E5" s="16" t="n">
        <f aca="false">IFERROR(Assumptions!$C$47*MAX(1,ROUNDUP($A5/(Assumptions!$C$45*Assumptions!$C$44),0))/$A5,0)</f>
        <v>5.6</v>
      </c>
      <c r="F5" s="16" t="n">
        <f aca="false">IFERROR(Assumptions!$C$49*MAX(1,ROUNDUP($A5/Assumptions!$C$48,0))/$A5+Assumptions!$C$29*Assumptions!$C$50,0)</f>
        <v>8</v>
      </c>
      <c r="G5" s="20" t="n">
        <f aca="false">Assumptions!$C$29+MIN(D5,E5,F5)</f>
        <v>0.672929511984338</v>
      </c>
      <c r="H5" s="44" t="n">
        <f aca="false">$A5*G5</f>
        <v>336.464755992169</v>
      </c>
      <c r="I5" s="45" t="s">
        <v>323</v>
      </c>
    </row>
    <row r="6" customFormat="false" ht="27.75" hidden="false" customHeight="true" outlineLevel="0" collapsed="false">
      <c r="A6" s="10" t="n">
        <v>1000</v>
      </c>
      <c r="B6" s="12" t="n">
        <f aca="false">IFERROR($A6/Assumptions!$C$44,0)</f>
        <v>0.520833333333333</v>
      </c>
      <c r="C6" s="43" t="n">
        <f aca="false">$A6*Assumptions!$C$29</f>
        <v>172.929511984338</v>
      </c>
      <c r="D6" s="16" t="n">
        <f aca="false">IFERROR(Assumptions!$C$46*MAX(1,ROUNDUP($A6/Assumptions!$C$44,0))/$A6,0)</f>
        <v>0.25</v>
      </c>
      <c r="E6" s="16" t="n">
        <f aca="false">IFERROR(Assumptions!$C$47*MAX(1,ROUNDUP($A6/(Assumptions!$C$45*Assumptions!$C$44),0))/$A6,0)</f>
        <v>2.8</v>
      </c>
      <c r="F6" s="16" t="n">
        <f aca="false">IFERROR(Assumptions!$C$49*MAX(1,ROUNDUP($A6/Assumptions!$C$48,0))/$A6+Assumptions!$C$29*Assumptions!$C$50,0)</f>
        <v>4</v>
      </c>
      <c r="G6" s="20" t="n">
        <f aca="false">Assumptions!$C$29+MIN(D6,E6,F6)</f>
        <v>0.422929511984338</v>
      </c>
      <c r="H6" s="44" t="n">
        <f aca="false">$A6*G6</f>
        <v>422.929511984338</v>
      </c>
      <c r="I6" s="45" t="s">
        <v>324</v>
      </c>
    </row>
    <row r="7" customFormat="false" ht="27.75" hidden="false" customHeight="true" outlineLevel="0" collapsed="false">
      <c r="A7" s="10" t="n">
        <v>5000</v>
      </c>
      <c r="B7" s="12" t="n">
        <f aca="false">IFERROR($A7/Assumptions!$C$44,0)</f>
        <v>2.60416666666667</v>
      </c>
      <c r="C7" s="43" t="n">
        <f aca="false">$A7*Assumptions!$C$29</f>
        <v>864.647559921692</v>
      </c>
      <c r="D7" s="16" t="n">
        <f aca="false">IFERROR(Assumptions!$C$46*MAX(1,ROUNDUP($A7/Assumptions!$C$44,0))/$A7,0)</f>
        <v>0.15</v>
      </c>
      <c r="E7" s="16" t="n">
        <f aca="false">IFERROR(Assumptions!$C$47*MAX(1,ROUNDUP($A7/(Assumptions!$C$45*Assumptions!$C$44),0))/$A7,0)</f>
        <v>0.56</v>
      </c>
      <c r="F7" s="16" t="n">
        <f aca="false">IFERROR(Assumptions!$C$49*MAX(1,ROUNDUP($A7/Assumptions!$C$48,0))/$A7+Assumptions!$C$29*Assumptions!$C$50,0)</f>
        <v>0.8</v>
      </c>
      <c r="G7" s="20" t="n">
        <f aca="false">Assumptions!$C$29+MIN(D7,E7,F7)</f>
        <v>0.322929511984338</v>
      </c>
      <c r="H7" s="44" t="n">
        <f aca="false">$A7*G7</f>
        <v>1614.64755992169</v>
      </c>
      <c r="I7" s="45" t="s">
        <v>325</v>
      </c>
    </row>
    <row r="8" customFormat="false" ht="27.75" hidden="false" customHeight="true" outlineLevel="0" collapsed="false">
      <c r="A8" s="10" t="n">
        <v>10000</v>
      </c>
      <c r="B8" s="12" t="n">
        <f aca="false">IFERROR($A8/Assumptions!$C$44,0)</f>
        <v>5.20833333333333</v>
      </c>
      <c r="C8" s="43" t="n">
        <f aca="false">$A8*Assumptions!$C$29</f>
        <v>1729.29511984338</v>
      </c>
      <c r="D8" s="16" t="n">
        <f aca="false">IFERROR(Assumptions!$C$46*MAX(1,ROUNDUP($A8/Assumptions!$C$44,0))/$A8,0)</f>
        <v>0.15</v>
      </c>
      <c r="E8" s="16" t="n">
        <f aca="false">IFERROR(Assumptions!$C$47*MAX(1,ROUNDUP($A8/(Assumptions!$C$45*Assumptions!$C$44),0))/$A8,0)</f>
        <v>0.28</v>
      </c>
      <c r="F8" s="16" t="n">
        <f aca="false">IFERROR(Assumptions!$C$49*MAX(1,ROUNDUP($A8/Assumptions!$C$48,0))/$A8+Assumptions!$C$29*Assumptions!$C$50,0)</f>
        <v>0.4</v>
      </c>
      <c r="G8" s="20" t="n">
        <f aca="false">Assumptions!$C$29+MIN(D8,E8,F8)</f>
        <v>0.322929511984338</v>
      </c>
      <c r="H8" s="44" t="n">
        <f aca="false">$A8*G8</f>
        <v>3229.29511984338</v>
      </c>
      <c r="I8" s="45" t="s">
        <v>326</v>
      </c>
    </row>
    <row r="9" customFormat="false" ht="27.75" hidden="false" customHeight="true" outlineLevel="0" collapsed="false">
      <c r="A9" s="10" t="n">
        <v>20000</v>
      </c>
      <c r="B9" s="12" t="n">
        <f aca="false">IFERROR($A9/Assumptions!$C$44,0)</f>
        <v>10.4166666666667</v>
      </c>
      <c r="C9" s="43" t="n">
        <f aca="false">$A9*Assumptions!$C$29</f>
        <v>3458.59023968677</v>
      </c>
      <c r="D9" s="16" t="n">
        <f aca="false">IFERROR(Assumptions!$C$46*MAX(1,ROUNDUP($A9/Assumptions!$C$44,0))/$A9,0)</f>
        <v>0.1375</v>
      </c>
      <c r="E9" s="16" t="n">
        <f aca="false">IFERROR(Assumptions!$C$47*MAX(1,ROUNDUP($A9/(Assumptions!$C$45*Assumptions!$C$44),0))/$A9,0)</f>
        <v>0.14</v>
      </c>
      <c r="F9" s="16" t="n">
        <f aca="false">IFERROR(Assumptions!$C$49*MAX(1,ROUNDUP($A9/Assumptions!$C$48,0))/$A9+Assumptions!$C$29*Assumptions!$C$50,0)</f>
        <v>0.2</v>
      </c>
      <c r="G9" s="20" t="n">
        <f aca="false">Assumptions!$C$29+MIN(D9,E9,F9)</f>
        <v>0.310429511984338</v>
      </c>
      <c r="H9" s="44" t="n">
        <f aca="false">$A9*G9</f>
        <v>6208.59023968677</v>
      </c>
      <c r="I9" s="45" t="s">
        <v>327</v>
      </c>
    </row>
    <row r="10" customFormat="false" ht="27.75" hidden="false" customHeight="true" outlineLevel="0" collapsed="false">
      <c r="A10" s="10" t="n">
        <v>49920</v>
      </c>
      <c r="B10" s="12" t="n">
        <f aca="false">IFERROR($A10/Assumptions!$C$44,0)</f>
        <v>26</v>
      </c>
      <c r="C10" s="43" t="n">
        <f aca="false">$A10*Assumptions!$C$29</f>
        <v>8632.64123825817</v>
      </c>
      <c r="D10" s="16" t="n">
        <f aca="false">IFERROR(Assumptions!$C$46*MAX(1,ROUNDUP($A10/Assumptions!$C$44,0))/$A10,0)</f>
        <v>0.130208333333333</v>
      </c>
      <c r="E10" s="16" t="n">
        <f aca="false">IFERROR(Assumptions!$C$47*MAX(1,ROUNDUP($A10/(Assumptions!$C$45*Assumptions!$C$44),0))/$A10,0)</f>
        <v>0.0560897435897436</v>
      </c>
      <c r="F10" s="16" t="n">
        <f aca="false">IFERROR(Assumptions!$C$49*MAX(1,ROUNDUP($A10/Assumptions!$C$48,0))/$A10+Assumptions!$C$29*Assumptions!$C$50,0)</f>
        <v>0.0801282051282051</v>
      </c>
      <c r="G10" s="20" t="n">
        <f aca="false">Assumptions!$C$29+MIN(D10,E10,F10)</f>
        <v>0.229019255574082</v>
      </c>
      <c r="H10" s="44" t="n">
        <f aca="false">$A10*G10</f>
        <v>11432.6412382582</v>
      </c>
      <c r="I10" s="45" t="s">
        <v>328</v>
      </c>
    </row>
    <row r="11" customFormat="false" ht="27.75" hidden="false" customHeight="true" outlineLevel="0" collapsed="false">
      <c r="A11" s="10" t="n">
        <v>56160</v>
      </c>
      <c r="B11" s="12" t="n">
        <f aca="false">IFERROR($A11/Assumptions!$C$44,0)</f>
        <v>29.25</v>
      </c>
      <c r="C11" s="43" t="n">
        <f aca="false">$A11*Assumptions!$C$29</f>
        <v>9711.72139304044</v>
      </c>
      <c r="D11" s="16" t="n">
        <f aca="false">IFERROR(Assumptions!$C$46*MAX(1,ROUNDUP($A11/Assumptions!$C$44,0))/$A11,0)</f>
        <v>0.133547008547009</v>
      </c>
      <c r="E11" s="16" t="n">
        <f aca="false">IFERROR(Assumptions!$C$47*MAX(1,ROUNDUP($A11/(Assumptions!$C$45*Assumptions!$C$44),0))/$A11,0)</f>
        <v>0.0997150997150997</v>
      </c>
      <c r="F11" s="16" t="n">
        <f aca="false">IFERROR(Assumptions!$C$49*MAX(1,ROUNDUP($A11/Assumptions!$C$48,0))/$A11+Assumptions!$C$29*Assumptions!$C$50,0)</f>
        <v>0.0712250712250712</v>
      </c>
      <c r="G11" s="20" t="n">
        <f aca="false">Assumptions!$C$29+MIN(D11,E11,F11)</f>
        <v>0.24415458320941</v>
      </c>
      <c r="H11" s="44" t="n">
        <f aca="false">$A11*G11</f>
        <v>13711.7213930404</v>
      </c>
      <c r="I11" s="45" t="s">
        <v>329</v>
      </c>
    </row>
    <row r="12" customFormat="false" ht="27.75" hidden="false" customHeight="true" outlineLevel="0" collapsed="false">
      <c r="A12" s="10" t="n">
        <v>99840</v>
      </c>
      <c r="B12" s="12" t="n">
        <f aca="false">IFERROR($A12/Assumptions!$C$44,0)</f>
        <v>52</v>
      </c>
      <c r="C12" s="43" t="n">
        <f aca="false">$A12*Assumptions!$C$29</f>
        <v>17265.2824765163</v>
      </c>
      <c r="D12" s="16" t="n">
        <f aca="false">IFERROR(Assumptions!$C$46*MAX(1,ROUNDUP($A12/Assumptions!$C$44,0))/$A12,0)</f>
        <v>0.130208333333333</v>
      </c>
      <c r="E12" s="16" t="n">
        <f aca="false">IFERROR(Assumptions!$C$47*MAX(1,ROUNDUP($A12/(Assumptions!$C$45*Assumptions!$C$44),0))/$A12,0)</f>
        <v>0.0560897435897436</v>
      </c>
      <c r="F12" s="16" t="n">
        <f aca="false">IFERROR(Assumptions!$C$49*MAX(1,ROUNDUP($A12/Assumptions!$C$48,0))/$A12+Assumptions!$C$29*Assumptions!$C$50,0)</f>
        <v>0.0801282051282051</v>
      </c>
      <c r="G12" s="20" t="n">
        <f aca="false">Assumptions!$C$29+MIN(D12,E12,F12)</f>
        <v>0.229019255574082</v>
      </c>
      <c r="H12" s="44" t="n">
        <f aca="false">$A12*G12</f>
        <v>22865.2824765163</v>
      </c>
      <c r="I12" s="45" t="s">
        <v>330</v>
      </c>
    </row>
    <row r="14" customFormat="false" ht="15" hidden="false" customHeight="false" outlineLevel="0" collapsed="false">
      <c r="A14" s="5" t="s">
        <v>331</v>
      </c>
    </row>
    <row r="15" customFormat="false" ht="15" hidden="false" customHeight="false" outlineLevel="0" collapsed="false">
      <c r="A15" s="7" t="s">
        <v>332</v>
      </c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7" t="s">
        <v>333</v>
      </c>
    </row>
    <row r="18" customFormat="false" ht="15" hidden="false" customHeight="false" outlineLevel="0" collapsed="false">
      <c r="A18" s="7" t="s">
        <v>334</v>
      </c>
    </row>
    <row r="19" customFormat="false" ht="15" hidden="false" customHeight="false" outlineLevel="0" collapsed="false">
      <c r="A19" s="7" t="s">
        <v>335</v>
      </c>
    </row>
    <row r="20" customFormat="false" ht="15" hidden="false" customHeight="false" outlineLevel="0" collapsed="false">
      <c r="A20" s="7" t="s">
        <v>336</v>
      </c>
    </row>
    <row r="21" customFormat="false" ht="15" hidden="false" customHeight="false" outlineLevel="0" collapsed="false">
      <c r="A21" s="7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338</v>
      </c>
    </row>
    <row r="2" customFormat="false" ht="15" hidden="false" customHeight="false" outlineLevel="0" collapsed="false">
      <c r="A2" s="7" t="s">
        <v>339</v>
      </c>
    </row>
    <row r="4" customFormat="false" ht="27.75" hidden="false" customHeight="true" outlineLevel="0" collapsed="false">
      <c r="A4" s="27" t="s">
        <v>340</v>
      </c>
      <c r="B4" s="27" t="s">
        <v>341</v>
      </c>
      <c r="C4" s="27" t="s">
        <v>342</v>
      </c>
      <c r="D4" s="27" t="s">
        <v>343</v>
      </c>
      <c r="E4" s="27" t="s">
        <v>344</v>
      </c>
      <c r="F4" s="27" t="s">
        <v>345</v>
      </c>
      <c r="G4" s="27" t="s">
        <v>346</v>
      </c>
      <c r="H4" s="27" t="s">
        <v>347</v>
      </c>
    </row>
    <row r="5" customFormat="false" ht="25.5" hidden="false" customHeight="true" outlineLevel="0" collapsed="false">
      <c r="A5" s="11" t="s">
        <v>348</v>
      </c>
      <c r="B5" s="24" t="n">
        <v>20.99</v>
      </c>
      <c r="C5" s="10" t="n">
        <v>30</v>
      </c>
      <c r="D5" s="10" t="n">
        <v>380</v>
      </c>
      <c r="E5" s="21" t="n">
        <f aca="false">C5*D5</f>
        <v>11400</v>
      </c>
      <c r="F5" s="46" t="n">
        <f aca="false">IFERROR(B5/(E5/100),0)</f>
        <v>0.184122807017544</v>
      </c>
      <c r="G5" s="42" t="n">
        <f aca="false">IFERROR(F5-$F$9,0)</f>
        <v>-0.0727030559515946</v>
      </c>
      <c r="H5" s="45" t="s">
        <v>349</v>
      </c>
    </row>
    <row r="6" customFormat="false" ht="25.5" hidden="false" customHeight="true" outlineLevel="0" collapsed="false">
      <c r="A6" s="11" t="s">
        <v>350</v>
      </c>
      <c r="B6" s="24" t="n">
        <v>18.54</v>
      </c>
      <c r="C6" s="10" t="n">
        <v>36</v>
      </c>
      <c r="D6" s="10" t="n">
        <v>286</v>
      </c>
      <c r="E6" s="21" t="n">
        <f aca="false">C6*D6</f>
        <v>10296</v>
      </c>
      <c r="F6" s="46" t="n">
        <f aca="false">IFERROR(B6/(E6/100),0)</f>
        <v>0.18006993006993</v>
      </c>
      <c r="G6" s="42" t="n">
        <f aca="false">IFERROR(F6-$F$9,0)</f>
        <v>-0.0767559328992084</v>
      </c>
      <c r="H6" s="45" t="s">
        <v>351</v>
      </c>
    </row>
    <row r="7" customFormat="false" ht="25.5" hidden="false" customHeight="true" outlineLevel="0" collapsed="false">
      <c r="A7" s="11" t="s">
        <v>352</v>
      </c>
      <c r="B7" s="24" t="n">
        <v>12.99</v>
      </c>
      <c r="C7" s="10" t="n">
        <v>12</v>
      </c>
      <c r="D7" s="10" t="n">
        <v>264</v>
      </c>
      <c r="E7" s="21" t="n">
        <f aca="false">C7*D7</f>
        <v>3168</v>
      </c>
      <c r="F7" s="46" t="n">
        <f aca="false">IFERROR(B7/(E7/100),0)</f>
        <v>0.410037878787879</v>
      </c>
      <c r="G7" s="42" t="n">
        <f aca="false">IFERROR(F7-$F$9,0)</f>
        <v>0.15321201581874</v>
      </c>
      <c r="H7" s="45" t="s">
        <v>353</v>
      </c>
    </row>
    <row r="8" customFormat="false" ht="25.5" hidden="false" customHeight="true" outlineLevel="0" collapsed="false">
      <c r="A8" s="11" t="s">
        <v>354</v>
      </c>
      <c r="B8" s="24" t="n">
        <v>24.99</v>
      </c>
      <c r="C8" s="10" t="n">
        <v>18</v>
      </c>
      <c r="D8" s="10" t="n">
        <v>244</v>
      </c>
      <c r="E8" s="21" t="n">
        <f aca="false">C8*D8</f>
        <v>4392</v>
      </c>
      <c r="F8" s="46" t="n">
        <f aca="false">IFERROR(B8/(E8/100),0)</f>
        <v>0.568989071038251</v>
      </c>
      <c r="G8" s="42" t="n">
        <f aca="false">IFERROR(F8-$F$9,0)</f>
        <v>0.312163208069113</v>
      </c>
      <c r="H8" s="45" t="s">
        <v>355</v>
      </c>
    </row>
    <row r="9" customFormat="false" ht="39.75" hidden="false" customHeight="true" outlineLevel="0" collapsed="false">
      <c r="A9" s="47" t="s">
        <v>356</v>
      </c>
      <c r="B9" s="48" t="n">
        <f aca="false">'Landed Cost Model'!$C$31</f>
        <v>23.1143276672225</v>
      </c>
      <c r="C9" s="49" t="n">
        <f aca="false">'Landed Cost Model'!$C$6</f>
        <v>30</v>
      </c>
      <c r="D9" s="49" t="n">
        <f aca="false">Assumptions!$C$8</f>
        <v>300</v>
      </c>
      <c r="E9" s="50" t="n">
        <f aca="false">C9*D9</f>
        <v>9000</v>
      </c>
      <c r="F9" s="39" t="n">
        <f aca="false">IFERROR(B9/(E9/100),0)</f>
        <v>0.256825862969138</v>
      </c>
      <c r="G9" s="51" t="n">
        <v>0</v>
      </c>
      <c r="H9" s="45" t="s">
        <v>357</v>
      </c>
    </row>
    <row r="10" customFormat="false" ht="15" hidden="false" customHeight="false" outlineLevel="0" collapsed="false">
      <c r="A10" s="5" t="s">
        <v>358</v>
      </c>
      <c r="F10" s="52" t="n">
        <f aca="false">Assumptions!$C$63</f>
        <v>0.32</v>
      </c>
      <c r="H10" s="7" t="s">
        <v>359</v>
      </c>
    </row>
    <row r="12" customFormat="false" ht="15" hidden="false" customHeight="false" outlineLevel="0" collapsed="false">
      <c r="A12" s="5" t="s">
        <v>247</v>
      </c>
    </row>
    <row r="13" customFormat="false" ht="15" hidden="false" customHeight="false" outlineLevel="0" collapsed="false">
      <c r="A13" s="7" t="s">
        <v>360</v>
      </c>
    </row>
    <row r="14" customFormat="false" ht="15" hidden="false" customHeight="false" outlineLevel="0" collapsed="false">
      <c r="A14" s="7" t="s">
        <v>361</v>
      </c>
    </row>
    <row r="15" customFormat="false" ht="15" hidden="false" customHeight="false" outlineLevel="0" collapsed="false">
      <c r="A15" s="7" t="s">
        <v>362</v>
      </c>
    </row>
    <row r="16" customFormat="false" ht="15" hidden="false" customHeight="false" outlineLevel="0" collapsed="false">
      <c r="A16" s="7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2026-07-28T13:07:46Z</dcterms:created>
  <dc:creator>openpyxl</dc:creator>
  <dc:description/>
  <dc:language>en-US</dc:language>
  <cp:lastModifiedBy/>
  <dcterms:modified xsi:type="dcterms:W3CDTF">2026-07-28T13:07:46Z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